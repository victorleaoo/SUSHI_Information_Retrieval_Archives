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y\Documents\"/>
    </mc:Choice>
  </mc:AlternateContent>
  <xr:revisionPtr revIDLastSave="0" documentId="13_ncr:1_{BCE462A3-1B26-4455-B09A-6EABB215AFB4}" xr6:coauthVersionLast="47" xr6:coauthVersionMax="47" xr10:uidLastSave="{00000000-0000-0000-0000-000000000000}"/>
  <bookViews>
    <workbookView xWindow="58590" yWindow="-5430" windowWidth="27150" windowHeight="15585" xr2:uid="{DD2D73A9-B788-47F7-9F93-00BE5D5673BF}"/>
  </bookViews>
  <sheets>
    <sheet name="Skew Model" sheetId="1" r:id="rId1"/>
    <sheet name="Some Digital" sheetId="4" r:id="rId2"/>
    <sheet name="No Digital" sheetId="3" r:id="rId3"/>
    <sheet name="No Page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27" i="1" l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128" i="1"/>
  <c r="I128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2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28" i="1" s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E129" i="1"/>
  <c r="G1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2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128" i="1" s="1"/>
  <c r="F9" i="1"/>
  <c r="F8" i="1"/>
  <c r="F7" i="1"/>
  <c r="F6" i="1"/>
  <c r="F5" i="1"/>
  <c r="F4" i="1"/>
  <c r="F3" i="1"/>
  <c r="F2" i="1"/>
  <c r="E128" i="1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5" i="1" l="1"/>
  <c r="E10" i="1"/>
  <c r="E3" i="1"/>
  <c r="E42" i="1"/>
  <c r="E43" i="1"/>
  <c r="E21" i="1"/>
  <c r="E17" i="1"/>
  <c r="E41" i="1"/>
  <c r="E9" i="1"/>
  <c r="E90" i="1"/>
  <c r="E15" i="1"/>
  <c r="E34" i="1"/>
  <c r="E11" i="1"/>
  <c r="E30" i="1"/>
  <c r="E46" i="1"/>
  <c r="E52" i="1"/>
  <c r="E35" i="1"/>
  <c r="E44" i="1"/>
  <c r="E13" i="1"/>
  <c r="E22" i="1"/>
  <c r="E63" i="1"/>
  <c r="E67" i="1"/>
  <c r="E8" i="1"/>
  <c r="E84" i="1"/>
  <c r="E55" i="1"/>
  <c r="E6" i="1"/>
  <c r="E14" i="1"/>
  <c r="E18" i="1"/>
  <c r="E47" i="1"/>
  <c r="E28" i="1"/>
  <c r="E19" i="1"/>
  <c r="E65" i="1"/>
  <c r="E16" i="1"/>
  <c r="E45" i="1"/>
  <c r="E7" i="1"/>
  <c r="E20" i="1"/>
  <c r="E29" i="1"/>
  <c r="E32" i="1"/>
  <c r="E38" i="1"/>
  <c r="E26" i="1"/>
  <c r="E33" i="1"/>
  <c r="E62" i="1"/>
  <c r="E53" i="1"/>
  <c r="E50" i="1"/>
  <c r="E75" i="1"/>
  <c r="E70" i="1"/>
  <c r="E61" i="1"/>
  <c r="E95" i="1"/>
  <c r="E12" i="1"/>
  <c r="E58" i="1"/>
  <c r="E69" i="1"/>
  <c r="E106" i="1"/>
  <c r="E82" i="1"/>
  <c r="E85" i="1"/>
  <c r="E27" i="1"/>
  <c r="E105" i="1"/>
  <c r="E51" i="1"/>
  <c r="E40" i="1"/>
  <c r="E66" i="1"/>
  <c r="E54" i="1"/>
  <c r="E91" i="1"/>
  <c r="E74" i="1"/>
  <c r="E100" i="1"/>
  <c r="E86" i="1"/>
  <c r="E111" i="1"/>
  <c r="E56" i="1"/>
  <c r="E94" i="1"/>
  <c r="E80" i="1"/>
  <c r="E39" i="1"/>
  <c r="E23" i="1"/>
  <c r="E73" i="1"/>
  <c r="E78" i="1"/>
  <c r="E4" i="1"/>
  <c r="E101" i="1"/>
  <c r="E79" i="1"/>
  <c r="E76" i="1"/>
  <c r="E96" i="1"/>
  <c r="E112" i="1"/>
  <c r="E108" i="1"/>
  <c r="E48" i="1"/>
  <c r="E59" i="1"/>
  <c r="E25" i="1"/>
  <c r="E36" i="1"/>
  <c r="E31" i="1"/>
  <c r="E103" i="1"/>
  <c r="E57" i="1"/>
  <c r="E115" i="1"/>
  <c r="E99" i="1"/>
  <c r="E120" i="1"/>
  <c r="E98" i="1"/>
  <c r="E117" i="1"/>
  <c r="E87" i="1"/>
  <c r="E107" i="1"/>
  <c r="E71" i="1"/>
  <c r="E24" i="1"/>
  <c r="E88" i="1"/>
  <c r="E116" i="1"/>
  <c r="E126" i="1"/>
  <c r="E125" i="1"/>
  <c r="E72" i="1"/>
  <c r="E93" i="1"/>
  <c r="E102" i="1"/>
  <c r="E89" i="1"/>
  <c r="E114" i="1"/>
  <c r="E122" i="1"/>
  <c r="E109" i="1"/>
  <c r="E2" i="1"/>
  <c r="E37" i="1"/>
  <c r="E119" i="1"/>
  <c r="E81" i="1"/>
  <c r="E49" i="1"/>
  <c r="E123" i="1"/>
  <c r="E124" i="1"/>
  <c r="E127" i="1"/>
  <c r="E121" i="1"/>
  <c r="E64" i="1"/>
  <c r="E113" i="1"/>
  <c r="E110" i="1"/>
  <c r="E97" i="1"/>
  <c r="E118" i="1"/>
  <c r="E92" i="1"/>
  <c r="E104" i="1"/>
  <c r="E77" i="1"/>
  <c r="E68" i="1"/>
  <c r="E60" i="1"/>
  <c r="E83" i="1"/>
</calcChain>
</file>

<file path=xl/sharedStrings.xml><?xml version="1.0" encoding="utf-8"?>
<sst xmlns="http://schemas.openxmlformats.org/spreadsheetml/2006/main" count="635" uniqueCount="616">
  <si>
    <t>Records of the Spanish Governors of Puerto Rico</t>
  </si>
  <si>
    <t>Records of the Immigration and Naturalization Service</t>
  </si>
  <si>
    <t>Records of the American Commission for the Protection and Salvage of Artistic and Historic Monuments in War Areas</t>
  </si>
  <si>
    <t>Records of the National Archives and Records Administration</t>
  </si>
  <si>
    <t>Records of U.S. Army Defense Commands (World War II)</t>
  </si>
  <si>
    <t>Records of the President's Commission on the Assassination of President Kennedy</t>
  </si>
  <si>
    <t>War Department Collection of Revolutionary War Records</t>
  </si>
  <si>
    <t>War Department Collection of Confederate Records</t>
  </si>
  <si>
    <t>Records of the Selective Service System</t>
  </si>
  <si>
    <t>Records of the Work Projects Administration</t>
  </si>
  <si>
    <t>Records of the American Commission to Negotiate Peace</t>
  </si>
  <si>
    <t>Records of the Extension Service</t>
  </si>
  <si>
    <t>Records of the U.S. Secret Service</t>
  </si>
  <si>
    <t>Records of the Bureau of the Census</t>
  </si>
  <si>
    <t>Records of the Children's Bureau</t>
  </si>
  <si>
    <t>National Archives Collection of Foreign Records Seized</t>
  </si>
  <si>
    <t>National Archives Collection of World War II War Crimes Records</t>
  </si>
  <si>
    <t>Records of the Office of the Secretary of War</t>
  </si>
  <si>
    <t>Records of the Government of the District of Columbia</t>
  </si>
  <si>
    <t>Records of the Adjutant General's Office</t>
  </si>
  <si>
    <t>Records of U.S. Occupation Headquarters, World War II</t>
  </si>
  <si>
    <t>Records of the Continental and Confederation Congresses and the Constitutional Convention</t>
  </si>
  <si>
    <t>Records of the Indian Arts and Crafts Board</t>
  </si>
  <si>
    <t>Naval Records Collection of the Office of Naval Records and Library</t>
  </si>
  <si>
    <t>Records of the American Battle Monuments Commission</t>
  </si>
  <si>
    <t>Records of the Office of the Chief of Chaplains</t>
  </si>
  <si>
    <t>Records of the Office of the Secretary of the Army</t>
  </si>
  <si>
    <t>Records of the Public Health Service</t>
  </si>
  <si>
    <t>Records of the Weather Bureau</t>
  </si>
  <si>
    <t>Records of the Post Office Department</t>
  </si>
  <si>
    <t>Records of the Committee on Fair Employment Practice</t>
  </si>
  <si>
    <t>General Records of the Department of State</t>
  </si>
  <si>
    <t>Records of the Office of the Quartermaster General</t>
  </si>
  <si>
    <t>Records of the U.S. Naval Academy</t>
  </si>
  <si>
    <t>Records of the Department of Veterans Affairs</t>
  </si>
  <si>
    <t>Records of the U.S. Fish and Wildlife Service</t>
  </si>
  <si>
    <t>Records of the Bureau of Naval Personnel</t>
  </si>
  <si>
    <t>Records of the Provost Marshal General's Bureau (Civil War)</t>
  </si>
  <si>
    <t>Records of the U.S. Marine Corps</t>
  </si>
  <si>
    <t>Records of the U.S. Civil Service Commission</t>
  </si>
  <si>
    <t>Records of the U.S. Strategic Bombing Survey</t>
  </si>
  <si>
    <t>Records of the Alaska Power Administration</t>
  </si>
  <si>
    <t>Records of the U.S. Coast Guard</t>
  </si>
  <si>
    <t>Records of the Office of the Chief Signal Officer</t>
  </si>
  <si>
    <t>Records of the National Recovery Administration</t>
  </si>
  <si>
    <t>Records of the U.S. Bureau of Mines</t>
  </si>
  <si>
    <t>Records of the Bureau of Indian Affairs</t>
  </si>
  <si>
    <t>Records of the Bureau of Refugees, Freedmen, and Abandoned Lands</t>
  </si>
  <si>
    <t>Records of the War Department General and Special Staffs</t>
  </si>
  <si>
    <t>Records of the War Production Board</t>
  </si>
  <si>
    <t>Records of the Office of Labor (War Food Administration)</t>
  </si>
  <si>
    <t>Records of the Central Intelligence Agency</t>
  </si>
  <si>
    <t>Records of the Office of the Secretary of Agriculture</t>
  </si>
  <si>
    <t>Records of the Office of the Chief of Naval Operations</t>
  </si>
  <si>
    <t>General Records of the Department of Justice</t>
  </si>
  <si>
    <t>Records of the Federal Reserve System</t>
  </si>
  <si>
    <t>Records of the U.S. Court of Claims</t>
  </si>
  <si>
    <t>Records of the Panama Canal</t>
  </si>
  <si>
    <t>Western Area Power Administration</t>
  </si>
  <si>
    <t>Records of the Maritime Administration</t>
  </si>
  <si>
    <t>Records of Headquarters, European Theater of Operations, United States Army (World War II)</t>
  </si>
  <si>
    <t>Records of the U.S. Marshals Service</t>
  </si>
  <si>
    <t>Records of the Coast and Geodetic Survey</t>
  </si>
  <si>
    <t>Records of the U.S. Customs Service</t>
  </si>
  <si>
    <t>Records of the Bureau of Medicine and Surgery</t>
  </si>
  <si>
    <t>Records of the U.S. Geological Survey</t>
  </si>
  <si>
    <t>Records of the Federal Bureau of Investigation</t>
  </si>
  <si>
    <t>General Records of the Department of the Navy</t>
  </si>
  <si>
    <t>Records of the American Expeditionary Forces (World War I)</t>
  </si>
  <si>
    <t>Records of the Office of the Judge Advocate General (Navy)</t>
  </si>
  <si>
    <t>Records of the Bureau of Prisons</t>
  </si>
  <si>
    <t>Records of the Selective Service System (World War I)</t>
  </si>
  <si>
    <t>Records of the War Relocation Authority</t>
  </si>
  <si>
    <t>Records of the Reconstruction Finance Corporation</t>
  </si>
  <si>
    <t>Records of Former Russian Agencies</t>
  </si>
  <si>
    <t>Records of the Labor-Management Services Administration</t>
  </si>
  <si>
    <t>Records of the National Agricultural Statistics Service</t>
  </si>
  <si>
    <t>Records of the Federal Highway Administration</t>
  </si>
  <si>
    <t>Records of the Federal Mine Safety and Health Review Commission</t>
  </si>
  <si>
    <t>Records of the Cooperative State Research, Education, and Extension Service</t>
  </si>
  <si>
    <t>Records of the U.S. Food Administration</t>
  </si>
  <si>
    <t>&lt;0.001%</t>
  </si>
  <si>
    <t>Records of the Bureau of Entomology and Plant Quarantine</t>
  </si>
  <si>
    <t>Records of the Bureau of Agricultural Engineering</t>
  </si>
  <si>
    <t>Records of the National Commission on Law Observance and Enforcement</t>
  </si>
  <si>
    <t>General Records of the United States Government</t>
  </si>
  <si>
    <t>Records of the Office of Education</t>
  </si>
  <si>
    <t>Records of the National Mediation Board</t>
  </si>
  <si>
    <t>Records of the Bureau of Animal Industry</t>
  </si>
  <si>
    <t>Records of the Army Air Forces</t>
  </si>
  <si>
    <t>Records of the Bureau of Ships</t>
  </si>
  <si>
    <t>Records of District Courts of the United States</t>
  </si>
  <si>
    <t>Records of the National Labor Relations Board</t>
  </si>
  <si>
    <t>Records of the Bureau of Public Roads</t>
  </si>
  <si>
    <t>Records of the U.S. Shipping Board</t>
  </si>
  <si>
    <t>Records of the Federal Deposit Insurance Corporation</t>
  </si>
  <si>
    <t>Records of the Civilian Conservation Corps</t>
  </si>
  <si>
    <t>Records of the Hydrographic Office</t>
  </si>
  <si>
    <t>Records of the Bureau of Accounts (Treasury)</t>
  </si>
  <si>
    <t>General Records of the Department of Commerce</t>
  </si>
  <si>
    <t>Records of the Bureau of Marine Inspection and Navigation</t>
  </si>
  <si>
    <t>Records of the Office of Public Buildings and Public Parks of the National Capital</t>
  </si>
  <si>
    <t>Records of International Conferences, Commissions, and Expositions</t>
  </si>
  <si>
    <t>Records of the Office of Government Reports</t>
  </si>
  <si>
    <t>Records of the U.S. Senate</t>
  </si>
  <si>
    <t>Records of the Social Security Administration</t>
  </si>
  <si>
    <t>Records of the Office of the Secretary of the Interior</t>
  </si>
  <si>
    <t>Records of the Bureau of Land Management</t>
  </si>
  <si>
    <t>Records of the Office of Management and Budget</t>
  </si>
  <si>
    <t>Records of the Bureau of the Public Debt</t>
  </si>
  <si>
    <t>Records of the Bureau of Plant Industry, Soils, and Agricultural Engineering</t>
  </si>
  <si>
    <t>Records of the Government of the Virgin Islands</t>
  </si>
  <si>
    <t>General Records of the Department of the Treasury</t>
  </si>
  <si>
    <t>Records of the Internal Revenue Service</t>
  </si>
  <si>
    <t>Records of the War Industries Board</t>
  </si>
  <si>
    <t>Records of the Council of National Defense</t>
  </si>
  <si>
    <t>Records of the Committee on Public Information</t>
  </si>
  <si>
    <t>Records of the Bureau of Yards and Docks</t>
  </si>
  <si>
    <t>Records of the Bureau of Ordnance</t>
  </si>
  <si>
    <t>Records of Boundary and Claims Commissions and Arbitrations</t>
  </si>
  <si>
    <t>Records of the Office of the Chief of Engineers</t>
  </si>
  <si>
    <t>Records of the U.S. Naval Observatory</t>
  </si>
  <si>
    <t>Records of the National Park Service</t>
  </si>
  <si>
    <t>Records of the U.S. International Trade Commission</t>
  </si>
  <si>
    <t>Records of the Bureau of Agricultural Economics</t>
  </si>
  <si>
    <t>Records of the Foreign Service Posts of the Department of State</t>
  </si>
  <si>
    <t>Records of the Women's Bureau</t>
  </si>
  <si>
    <t>Records of the Food and Drug Administration</t>
  </si>
  <si>
    <t>Records of the Forest Service</t>
  </si>
  <si>
    <t>Records of the Farmers Home Administration</t>
  </si>
  <si>
    <t>Records of the Bureau of Agricultural and Industrial Chemistry</t>
  </si>
  <si>
    <t>Records of U.S. Army Commands</t>
  </si>
  <si>
    <t>Records of the Office of the Paymaster General</t>
  </si>
  <si>
    <t>Records of the Office of the Comptroller of the Currency</t>
  </si>
  <si>
    <t>Records of the Farm Credit Administration</t>
  </si>
  <si>
    <t>Records of the U.S. Mint</t>
  </si>
  <si>
    <t>Records of the Headquarters of the Army</t>
  </si>
  <si>
    <t>Records of the Office of the Surgeon General (Army)</t>
  </si>
  <si>
    <t>Records of the Natural Resources Conservation Service</t>
  </si>
  <si>
    <t>Records of the Bureau of Reclamation</t>
  </si>
  <si>
    <t>Records of U.S. Attorneys</t>
  </si>
  <si>
    <t>Records of the Public Buildings Service</t>
  </si>
  <si>
    <t>Records of the Federal Trade Commission</t>
  </si>
  <si>
    <t>Records of the Office of Territories</t>
  </si>
  <si>
    <t>Records of Joint Committees of Congress</t>
  </si>
  <si>
    <t>Records of the Office of Alien Property</t>
  </si>
  <si>
    <t>Records of the Rent Commission of the District of Columbia</t>
  </si>
  <si>
    <t>Records of the Interstate Commerce Commission</t>
  </si>
  <si>
    <t>Records of the Public Works Administration</t>
  </si>
  <si>
    <t>Records of the Agricultural Marketing Service</t>
  </si>
  <si>
    <t>Records of the Federal Energy Regulatory Commission</t>
  </si>
  <si>
    <t>Records of the Military Government of Cuba</t>
  </si>
  <si>
    <t>Records of the Tennessee Valley Authority</t>
  </si>
  <si>
    <t>Records of the Bureau of Supplies and Accounts (Navy)</t>
  </si>
  <si>
    <t>Records of the Farm Service Agency</t>
  </si>
  <si>
    <t>Records of Commissions of the Legislative Branch</t>
  </si>
  <si>
    <t>Records of the Government Printing Office</t>
  </si>
  <si>
    <t>Records of the Office of the Judge Advocate General (Army)</t>
  </si>
  <si>
    <t>Records of the Wage and Hour Division</t>
  </si>
  <si>
    <t>Records of the Office of the Chief of Ordnance</t>
  </si>
  <si>
    <t>Records of the Capital Issues Committee</t>
  </si>
  <si>
    <t>Records of the Office of the Inspector General (Army)</t>
  </si>
  <si>
    <t>General Records of the Federal Works Agency</t>
  </si>
  <si>
    <t>Records of the Cooperative State Research Service</t>
  </si>
  <si>
    <t>Records of the Foreign Agricultural Service</t>
  </si>
  <si>
    <t>Records of the Drug Enforcement Administration</t>
  </si>
  <si>
    <t>Records of the Office of Civilian Defense</t>
  </si>
  <si>
    <t>Records of the Federal Communications Commission</t>
  </si>
  <si>
    <t>General Records of the Department of Labor</t>
  </si>
  <si>
    <t>Records of the U.S. Maritime Commission</t>
  </si>
  <si>
    <t>Records of Navy Installations Command, Navy Regions, Naval Districts, and Shore Establishments</t>
  </si>
  <si>
    <t>Records of the Railroad Retirement Board</t>
  </si>
  <si>
    <t>Records of the National Resources Planning Board</t>
  </si>
  <si>
    <t>Records of the Office of Price Administration</t>
  </si>
  <si>
    <t>Records of the Federal Home Loan Bank Board</t>
  </si>
  <si>
    <t>Records of the Public Housing Administration</t>
  </si>
  <si>
    <t>Records of the Civil Aeronautics Board</t>
  </si>
  <si>
    <t>National Archives Gift Collection</t>
  </si>
  <si>
    <t>Records of the National War Labor Board (World War II)</t>
  </si>
  <si>
    <t>Records of the Office of the Pardon Attorney</t>
  </si>
  <si>
    <t>Records of the Court of Claims Section (Justice)</t>
  </si>
  <si>
    <t>General Records of the Department of Housing and Urban Development</t>
  </si>
  <si>
    <t>Records of the Office of War Information</t>
  </si>
  <si>
    <t>Records of the War Manpower Commission</t>
  </si>
  <si>
    <t>Records of the Committee for Congested Production Areas</t>
  </si>
  <si>
    <t>Records of the Accounting Officers of the Department of the Treasury</t>
  </si>
  <si>
    <t>Records of the U.S. Joint Chiefs of Staff</t>
  </si>
  <si>
    <t>Records of Temporary Committees, Commissions, and Boards</t>
  </si>
  <si>
    <t>Records of Joint Army and Navy Boards and Committees</t>
  </si>
  <si>
    <t>Records of the Office of Strategic Services</t>
  </si>
  <si>
    <t>Records of the Office of Scientific Research and Development</t>
  </si>
  <si>
    <t>Records of the U.S. House of Representatives</t>
  </si>
  <si>
    <t>General Records of the Department of Health, Education, and Welfare</t>
  </si>
  <si>
    <t>Records of the Federal Aviation Administration</t>
  </si>
  <si>
    <t>Records of the Smaller War Plants Corporation</t>
  </si>
  <si>
    <t>Records of the Patent and Trademark Office</t>
  </si>
  <si>
    <t>Records of the Solid Fuels Administration for War</t>
  </si>
  <si>
    <t>Records of the Commissary General of Prisoners</t>
  </si>
  <si>
    <t>Records of the Petroleum Administration for War</t>
  </si>
  <si>
    <t>Records of the National Aeronautics and Space Administration</t>
  </si>
  <si>
    <t>Records of the Bureau of Labor Statistics</t>
  </si>
  <si>
    <t>Records of the Securities and Exchange Commission</t>
  </si>
  <si>
    <t>Records of the Supreme Court of the United States</t>
  </si>
  <si>
    <t>Records of the War Assets Administration</t>
  </si>
  <si>
    <t>Records of the National Security Council</t>
  </si>
  <si>
    <t>Records of Presidential Inaugural Committees</t>
  </si>
  <si>
    <t>Records of the U.S. Courts of Appeals</t>
  </si>
  <si>
    <t>Records of the Federal Mediation and Conciliation Service</t>
  </si>
  <si>
    <t>Records of the Government of American Samoa</t>
  </si>
  <si>
    <t>Records of the Agency for International Development</t>
  </si>
  <si>
    <t>Publications of the U.S. Government</t>
  </si>
  <si>
    <t>Records of the Naval Intelligence Command</t>
  </si>
  <si>
    <t>Records of the Federal Property Resources Service</t>
  </si>
  <si>
    <t>Records of the Administration for Children and Families</t>
  </si>
  <si>
    <t>Records of the Office of Price Stabilization</t>
  </si>
  <si>
    <t>Records of the Bureau of Apprenticeship and Training</t>
  </si>
  <si>
    <t>Records of the National Capital Housing Authority</t>
  </si>
  <si>
    <t>Records of the Office of Civil and Defense Mobilization</t>
  </si>
  <si>
    <t>Records of the Bonneville Power Administration</t>
  </si>
  <si>
    <t>Records of the U.S. Information Agency</t>
  </si>
  <si>
    <t>Records of the National Science Foundation</t>
  </si>
  <si>
    <t>Records of Naval Operating Forces</t>
  </si>
  <si>
    <t>Records of the Bureau of Engraving and Printing</t>
  </si>
  <si>
    <t>Records of the Army Staff</t>
  </si>
  <si>
    <t>Records of the U.S. Court of International Trade</t>
  </si>
  <si>
    <t>Records of the Puerto Rico Reconstruction Administration</t>
  </si>
  <si>
    <t>Records of the Atomic Energy Commission</t>
  </si>
  <si>
    <t>Records of the National Capital Planning Commission</t>
  </si>
  <si>
    <t>Records of the Office of the Secretary of Defense</t>
  </si>
  <si>
    <t>Records of Allied Operational and Occupation Headquarters, World War II</t>
  </si>
  <si>
    <t>Records of the Office of the Chief of Transportation</t>
  </si>
  <si>
    <t>Records of Headquarters Army Ground Forces</t>
  </si>
  <si>
    <t>Records of U.S. Army Operational, Tactical, and Support Organizations (World War II and Thereafter)</t>
  </si>
  <si>
    <t>Records of the Office of the Secretary of the Air Force</t>
  </si>
  <si>
    <t>Records of Headquarters U.S. Air Force (Air Staff)</t>
  </si>
  <si>
    <t>Records of U.S. Air Force Commands, Activities, and Organizations</t>
  </si>
  <si>
    <t>Records of the Bureau of Insular Affairs</t>
  </si>
  <si>
    <t>Records of Interdepartmental and Intradepartmental Committees (State Department)</t>
  </si>
  <si>
    <t>Records of the Office of Science and Technology Policy</t>
  </si>
  <si>
    <t>Records of the Office of the U.S. Trade Representative</t>
  </si>
  <si>
    <t>Treasury Department Collection of Confederate Records</t>
  </si>
  <si>
    <t>Records of Civil War Special Agencies of the Treasury Department</t>
  </si>
  <si>
    <t>Records of the Heritage Conservation and Recreation Service</t>
  </si>
  <si>
    <t>Records of the Employment and Training Administration</t>
  </si>
  <si>
    <t>Records of the National Oceanic and Atmospheric Administration</t>
  </si>
  <si>
    <t>Records of the Defense Intelligence Agency</t>
  </si>
  <si>
    <t>Records of the Defense Threat Reduction Agency</t>
  </si>
  <si>
    <t>Records of the Bureau of Economic Analysis</t>
  </si>
  <si>
    <t>Records of the Economic Development Administration</t>
  </si>
  <si>
    <t>Records of the Community Relations Service</t>
  </si>
  <si>
    <t>Records of the U.S. Arms Control and Disarmament Agency</t>
  </si>
  <si>
    <t>Records of the Office of the Provost Marshal General</t>
  </si>
  <si>
    <t>Records of U.S. Regular Army Mobile Units</t>
  </si>
  <si>
    <t>Records of U.S. Army Coast Artillery Districts and Defenses</t>
  </si>
  <si>
    <t>Records of U.S. Army Continental Commands</t>
  </si>
  <si>
    <t>Records of U.S. Army Overseas Operations and Commands</t>
  </si>
  <si>
    <t>General Records of the Department of Transportation</t>
  </si>
  <si>
    <t>Records of the Federal Railroad Administration</t>
  </si>
  <si>
    <t>Records of the Environmental Protection Agency</t>
  </si>
  <si>
    <t>Records of the National Credit Union Administration</t>
  </si>
  <si>
    <t>Records of the National Highway Traffic Safety Administration</t>
  </si>
  <si>
    <t>Records of St. Elizabeths Hospital</t>
  </si>
  <si>
    <t>Records of the Bureau of Fiscal Service</t>
  </si>
  <si>
    <t>Records of the Energy Research and Development Administration</t>
  </si>
  <si>
    <t>General Records of the Department of Energy</t>
  </si>
  <si>
    <t>Records of the Bureau of Alcohol, Tobacco, Firearms, and Explosives</t>
  </si>
  <si>
    <t>Records of the Administration on Aging</t>
  </si>
  <si>
    <t>General Records of the Department of Education</t>
  </si>
  <si>
    <t>Records of the Centers for Disease Control and Prevention</t>
  </si>
  <si>
    <t>Records of the National Institutes of Health</t>
  </si>
  <si>
    <t>Records of Independent Counsels</t>
  </si>
  <si>
    <t>Records of the American Revolution Bicentennial Administration</t>
  </si>
  <si>
    <t>Records of the United States Commission on Civil Rights</t>
  </si>
  <si>
    <t>Records of the National Security Agency/Central Security Service</t>
  </si>
  <si>
    <t>Records of the Watergate Special Prosecution Force</t>
  </si>
  <si>
    <t>Records of the Food and Nutrition Service</t>
  </si>
  <si>
    <t>Records of the Animal and Plant Health Inspection Service</t>
  </si>
  <si>
    <t>Records of the Pension Benefit Guaranty Corporation</t>
  </si>
  <si>
    <t>Records of the U.S. High Commissioner for Germany</t>
  </si>
  <si>
    <t>General Records of the Department of Health and Human Services</t>
  </si>
  <si>
    <t>Records of U.S. Foreign Assistance Agencies</t>
  </si>
  <si>
    <t>Records of the U.S. Forces in Southeast Asia</t>
  </si>
  <si>
    <t>Records of the Bureau of Safety and Environmental Enforcement</t>
  </si>
  <si>
    <t>Records of the Federal Labor Relations Authority</t>
  </si>
  <si>
    <t>Records of the Office of Thrift Supervision</t>
  </si>
  <si>
    <t>Records of the Peace Corps</t>
  </si>
  <si>
    <t>Records of Mediterranean Theater of Operations, United States Army</t>
  </si>
  <si>
    <t>Records of U.S. Army Forces in the China-Burma-India Theaters of Operations</t>
  </si>
  <si>
    <t>Records of Scholarship and Fellowship Granting Foundations</t>
  </si>
  <si>
    <t>Records of the Agency for Health Care Policy and Research</t>
  </si>
  <si>
    <t>Records of the Office of the Assistant Secretary for Health</t>
  </si>
  <si>
    <t>Records of the Federal Judicial Center</t>
  </si>
  <si>
    <t>Records of the Advisory Council on Historic Preservation</t>
  </si>
  <si>
    <t>Records of the U.S. Sentencing Commission</t>
  </si>
  <si>
    <t>Records of the Assassination Records Review Board</t>
  </si>
  <si>
    <t>Records of United States Army, Europe</t>
  </si>
  <si>
    <t>Records of General Headquarters, Far East Command, Supreme Commander Allied Powers, and United Nations Command</t>
  </si>
  <si>
    <t>Records of the Federal Motor Carrier Safety Administration</t>
  </si>
  <si>
    <t>Records of the Financial Crimes Enforcement Network</t>
  </si>
  <si>
    <t>General Records of the Department of Homeland Security</t>
  </si>
  <si>
    <t>Records of U.S. Citizenship and Immigration Services</t>
  </si>
  <si>
    <t>Records of the Bureau of Customs and Border Protection</t>
  </si>
  <si>
    <t>Records of the United States Bankruptcy Courts</t>
  </si>
  <si>
    <t>Records of the Bureau of Consumer Financial Protection</t>
  </si>
  <si>
    <t>Records of the Architectural and Transportation Barriers Compliance Board</t>
  </si>
  <si>
    <t>Records of the Privacy and Civil Liberties Oversight Board</t>
  </si>
  <si>
    <t>Records of the Office of the Federal Coordinator for Alaska Natural Gas Transportation Projects</t>
  </si>
  <si>
    <t>Records of the Special Inspector General for Afghanistan Reconstruction</t>
  </si>
  <si>
    <t>Civil Rights Cold Case Records Collection</t>
  </si>
  <si>
    <t>Unidentified Anomalous Phenomena Records Collection</t>
  </si>
  <si>
    <t>Records of the War Labor Policies Board</t>
  </si>
  <si>
    <t>Records of the National War Labor Board (World War I)</t>
  </si>
  <si>
    <t>Records of the U.S. Housing Corporation</t>
  </si>
  <si>
    <t>Records of the U.S. Grain Corporation</t>
  </si>
  <si>
    <t>Records of the U.S. Sugar Equalization Board, Inc</t>
  </si>
  <si>
    <t>Records of the U.S. Railroad Administration</t>
  </si>
  <si>
    <t>Records of the Office of the Special Adviser to the President on Foreign Trade</t>
  </si>
  <si>
    <t>Records of the Federal Housing Administration</t>
  </si>
  <si>
    <t>Records of the Treasurer of the United States</t>
  </si>
  <si>
    <t>Records of the Commission of Fine Arts</t>
  </si>
  <si>
    <t>Records of the U.S. Fuel Administration</t>
  </si>
  <si>
    <t>Records of the U.S. Coal Commission</t>
  </si>
  <si>
    <t>Records of the Bureau of Aeronautics</t>
  </si>
  <si>
    <t>Records of the President's Organization on Unemployment Relief</t>
  </si>
  <si>
    <t>Records of the Federal Fuel Distributor</t>
  </si>
  <si>
    <t>Records of the Inland Waterways Corporation</t>
  </si>
  <si>
    <t>Records of the Occupational Safety and Health Administration</t>
  </si>
  <si>
    <t>Records of the Smithsonian Institution</t>
  </si>
  <si>
    <t>Records of the Allied Purchasing Commission</t>
  </si>
  <si>
    <t>Records of the Administrative Office of the United States Courts</t>
  </si>
  <si>
    <t>Records of the National Youth Administration</t>
  </si>
  <si>
    <t>Records of the Surplus Marketing Administration</t>
  </si>
  <si>
    <t>Records of the White House Office</t>
  </si>
  <si>
    <t>Records of the Federal Coordinator of Transportation</t>
  </si>
  <si>
    <t>Records of the Federal Supply Service</t>
  </si>
  <si>
    <t>Records of the Dominican Customs Receivership</t>
  </si>
  <si>
    <t>Records of the Military Government of Veracruz</t>
  </si>
  <si>
    <t>Records of the Temporary National Economic Committee</t>
  </si>
  <si>
    <t>Records of the National Bituminous Coal Commission</t>
  </si>
  <si>
    <t>Records of the Bureau of Foreign and Domestic Commerce</t>
  </si>
  <si>
    <t>Records of the Bureau of Dairy Industry</t>
  </si>
  <si>
    <t>Records of the War Finance Corporation</t>
  </si>
  <si>
    <t>Records of the Maritime Labor Board</t>
  </si>
  <si>
    <t>Records of Headquarters Army Service Forces</t>
  </si>
  <si>
    <t>Records of the Commodity Credit Corporation</t>
  </si>
  <si>
    <t>Records of the National Institute of Standards and Technology</t>
  </si>
  <si>
    <t>Records of the National Guard Bureau</t>
  </si>
  <si>
    <t>Records of the Foreign Economic Administration</t>
  </si>
  <si>
    <t>Records of the U.S. Commerce Court</t>
  </si>
  <si>
    <t>Records of the Chemical Warfare Service</t>
  </si>
  <si>
    <t>Records of the Bureau of Human Nutrition and Home Economics</t>
  </si>
  <si>
    <t>Records of the Chiefs of Arms</t>
  </si>
  <si>
    <t>Records of the Commodity Futures Trading Commission</t>
  </si>
  <si>
    <t>Records of the War Trade Board</t>
  </si>
  <si>
    <t>Records of the Office of Employment Security</t>
  </si>
  <si>
    <t>Records of the Bureau of War Risk Litigation</t>
  </si>
  <si>
    <t>Records of the War Department Claims Board</t>
  </si>
  <si>
    <t>Records of the Office of the Commissary General of Subsistence</t>
  </si>
  <si>
    <t>Records of the Commissioner of Railroads</t>
  </si>
  <si>
    <t>Records of the War Minerals Relief Commission</t>
  </si>
  <si>
    <t>Records of the Board of Investigation and Research-Transportation</t>
  </si>
  <si>
    <t>Records of the Provisional Government of Cuba</t>
  </si>
  <si>
    <t>Records of the Office of the Chief of Finance (Army)</t>
  </si>
  <si>
    <t>Records of the Solicitor of the Treasury</t>
  </si>
  <si>
    <t>Records of the Prison Industries Reorganization Administration</t>
  </si>
  <si>
    <t>Records of the Foreign Claims Section (War)</t>
  </si>
  <si>
    <t>Records of the Office for Emergency Management</t>
  </si>
  <si>
    <t>Records of the Office of Community War Services</t>
  </si>
  <si>
    <t>Records of the Office of Censorship</t>
  </si>
  <si>
    <t>Records of the Office of Defense Transportation</t>
  </si>
  <si>
    <t>Records of the Rural Electrification Administration</t>
  </si>
  <si>
    <t>Records of the Bituminous Coal Division</t>
  </si>
  <si>
    <t>Records of the Office of the Bituminous Coal Consumers' Counsel</t>
  </si>
  <si>
    <t>Records of the Office of Inter-American Affairs</t>
  </si>
  <si>
    <t>Records of the U.S. War Ballot Commission</t>
  </si>
  <si>
    <t>Records of the Armed Forces Retirement Home</t>
  </si>
  <si>
    <t>Records of the Petroleum Administrative Board</t>
  </si>
  <si>
    <t>Records of the Wage Adjustment Board</t>
  </si>
  <si>
    <t>Records of the Retraining and Reemployment Administration</t>
  </si>
  <si>
    <t>Records of the Office of Contract Settlement</t>
  </si>
  <si>
    <t>Records of the War Shipping Administration</t>
  </si>
  <si>
    <t>Records of the Office of War Mobilization and Reconversion</t>
  </si>
  <si>
    <t>Records of the Price Decontrol Board</t>
  </si>
  <si>
    <t>Records of the Office of the Housing Expediter</t>
  </si>
  <si>
    <t>Records of the Shipbuilding Stabilization Committee</t>
  </si>
  <si>
    <t>Records of the Federal Crop Insurance Corporation</t>
  </si>
  <si>
    <t>Records of the Board of War Communications</t>
  </si>
  <si>
    <t>Records of the Foreign Broadcast Intelligence Service</t>
  </si>
  <si>
    <t>Records of the Commissions on Organization of the Executive Branch of the Government (Hoover Commissions)</t>
  </si>
  <si>
    <t>Records of the Office of Foreign Assets Control</t>
  </si>
  <si>
    <t>Records of the Philippine War Damage Commission</t>
  </si>
  <si>
    <t>General Records of the General Services Administration</t>
  </si>
  <si>
    <t>Records of the Office of Workers' Compensation Programs</t>
  </si>
  <si>
    <t>Records of the Export-Import Bank of the United States</t>
  </si>
  <si>
    <t>Records of the National Production Authority</t>
  </si>
  <si>
    <t>Records of the Displaced Persons Commission</t>
  </si>
  <si>
    <t>Records of the Indian Claims Commission</t>
  </si>
  <si>
    <t>Records of the Renegotiation Board</t>
  </si>
  <si>
    <t>Records of the National Foundation on the Arts and the Humanities</t>
  </si>
  <si>
    <t>Records of the Vocational Rehabilitation Administration</t>
  </si>
  <si>
    <t>Records of the Wage and Salary Stabilization Boards of the Economic Stabilization Agency</t>
  </si>
  <si>
    <t>Records of the Federal National Mortgage Association</t>
  </si>
  <si>
    <t>General Records of the Economic Stabilization Agency</t>
  </si>
  <si>
    <t>Records of the Library of Congress</t>
  </si>
  <si>
    <t>Records of the Office of Naval Research</t>
  </si>
  <si>
    <t>Records of the Foreign Claims Settlement Commission of the United States</t>
  </si>
  <si>
    <t>Records of the National Council on Marine Resources and Engineering Development</t>
  </si>
  <si>
    <t>Records of the U.S. Tax Court</t>
  </si>
  <si>
    <t>Records of the Small Business Administration</t>
  </si>
  <si>
    <t>Records of the Agricultural Research Service</t>
  </si>
  <si>
    <t>Records of the Federal Emergency Management Agency</t>
  </si>
  <si>
    <t>Records of the Petroleum Administration for Defense</t>
  </si>
  <si>
    <t>Records of the Agricultural Cooperative Service</t>
  </si>
  <si>
    <t>Records of Interagency Committees and Councils Coordinating Water Use Programs</t>
  </si>
  <si>
    <t>Records of the Japan-U.S. Friendship Commission</t>
  </si>
  <si>
    <t>Records of the Office of Minerals Exploration</t>
  </si>
  <si>
    <t>Records of The Alaska Railroad</t>
  </si>
  <si>
    <t>Records of the Board on Geographic Names</t>
  </si>
  <si>
    <t>Records of the Committee on Government Contract Compliance</t>
  </si>
  <si>
    <t>Records of the Defense Electric Power Administration</t>
  </si>
  <si>
    <t>Records of U.S. Theaters of War, World War II</t>
  </si>
  <si>
    <t>Records of International Military Agencies</t>
  </si>
  <si>
    <t>Records of Interservice Agencies</t>
  </si>
  <si>
    <t>Records of the Federal Election Commission</t>
  </si>
  <si>
    <t>Records of the Naval Air Systems Command</t>
  </si>
  <si>
    <t>Records of the Naval Ship Systems Command</t>
  </si>
  <si>
    <t>Records of the Naval Electronic Systems Command</t>
  </si>
  <si>
    <t>Records of the Naval Ordnance Systems Command</t>
  </si>
  <si>
    <t>Records of the Naval Supply Systems Command</t>
  </si>
  <si>
    <t>Records of Joint Commands</t>
  </si>
  <si>
    <t>Records of the Information Resources Management Service</t>
  </si>
  <si>
    <t>Records of the Economic Research Service</t>
  </si>
  <si>
    <t>Records of the Federal Maritime Commission</t>
  </si>
  <si>
    <t>Records of the Defense Logistics Agency</t>
  </si>
  <si>
    <t>Records of the Corporation for National and Community Service</t>
  </si>
  <si>
    <t>Records of the Social and Rehabilitation Service</t>
  </si>
  <si>
    <t>Records of the Defense Information Systems Agency</t>
  </si>
  <si>
    <t>Records of the Defense Contract Audit Agency</t>
  </si>
  <si>
    <t>Records of the U.S. Travel and Tourism Administration</t>
  </si>
  <si>
    <t>Records of the Office of Saline Water</t>
  </si>
  <si>
    <t>Records of the Community Services Administration</t>
  </si>
  <si>
    <t>Records of the Federal Water Pollution Control Administration</t>
  </si>
  <si>
    <t>Records of the Chief of Naval Material</t>
  </si>
  <si>
    <t>Records of the Naval Facilities Engineering Command</t>
  </si>
  <si>
    <t>Records of the Employees' Compensation Appeals Board</t>
  </si>
  <si>
    <t>Records of the Southwestern Power Administration</t>
  </si>
  <si>
    <t>Records of the Southeastern Power Administration</t>
  </si>
  <si>
    <t>Records of the Office of Emergency Preparedness</t>
  </si>
  <si>
    <t>Records of the Defense Civil Preparedness Agency</t>
  </si>
  <si>
    <t>Records of the National Transportation Safety Board</t>
  </si>
  <si>
    <t>National Archives Gift Collection of Materials Relating to Polar Regions</t>
  </si>
  <si>
    <t>Records of the Bureau of Naval Weapons</t>
  </si>
  <si>
    <t>Records of the Equal Employment Opportunity Commission</t>
  </si>
  <si>
    <t>Records of the U.S. Military Academy</t>
  </si>
  <si>
    <t>Records of the Federal Transit Administration</t>
  </si>
  <si>
    <t>Records of the Public Land Law Review Commission</t>
  </si>
  <si>
    <t>Records of the Office of the Chief of Support Services</t>
  </si>
  <si>
    <t>Records of the Government Accountability Office</t>
  </si>
  <si>
    <t>Records of Regional Committees, Commissions, and Boards</t>
  </si>
  <si>
    <t>Records of the Office of Oil and Gas</t>
  </si>
  <si>
    <t>Records of the National Telecommunications and Information Administration</t>
  </si>
  <si>
    <t>Records of the National Institute of Education</t>
  </si>
  <si>
    <t>Records of the United States International Development Finance Corporation</t>
  </si>
  <si>
    <t>Records of the National Technical Information Service</t>
  </si>
  <si>
    <t>Records of the Law Enforcement Assistance Administration</t>
  </si>
  <si>
    <t>Records of the Consumer Product Safety Commission</t>
  </si>
  <si>
    <t>Records of the Office of Foreign Direct Investments</t>
  </si>
  <si>
    <t>Records of the Minority Business Development Agency</t>
  </si>
  <si>
    <t>Records of Organizations in the Executive Office of the President</t>
  </si>
  <si>
    <t>Records of the Nuclear Regulatory Commission</t>
  </si>
  <si>
    <t>Records of the Economic Stabilization Programs</t>
  </si>
  <si>
    <t>Records of the Mine Safety and Health Administration</t>
  </si>
  <si>
    <t>Records of the National Fire Prevention and Control Administration</t>
  </si>
  <si>
    <t>Records of the U.S. Parole Commission</t>
  </si>
  <si>
    <t>Records of the Centers for Medicare &amp; Medicaid Services</t>
  </si>
  <si>
    <t>Records of the Office of Technology Assessment</t>
  </si>
  <si>
    <t>Records of the Rural Development Administration</t>
  </si>
  <si>
    <t>Records of the Defense Security Service</t>
  </si>
  <si>
    <t>General Records of the Employment Standards Administration</t>
  </si>
  <si>
    <t>Records of the Administrative Conference of the United States</t>
  </si>
  <si>
    <t>Records of the Inter-American Foundation</t>
  </si>
  <si>
    <t>Records of the Occupational Safety and Health Review Commission</t>
  </si>
  <si>
    <t>Records of the Defense Mapping Agency</t>
  </si>
  <si>
    <t>Records of the Postal Rate Commission</t>
  </si>
  <si>
    <t>Records of the Council of Economic Advisers</t>
  </si>
  <si>
    <t>Records of the U.S. Air Force Academy</t>
  </si>
  <si>
    <t>Records of the U.S. Railway Association</t>
  </si>
  <si>
    <t>Records of the Research and Innovative Technology Administration (Transportation)</t>
  </si>
  <si>
    <t>Records of the Office of Surface Mining Reclamation and Enforcement</t>
  </si>
  <si>
    <t>Records of the Federal Retirement Thrift Investment Board</t>
  </si>
  <si>
    <t>Records of the American Institute in Taiwan</t>
  </si>
  <si>
    <t>Records of the Bureau of Industry and Security</t>
  </si>
  <si>
    <t>Records of the Foreign Intelligence Surveillance Court</t>
  </si>
  <si>
    <t>Records of the Office of Personnel Management</t>
  </si>
  <si>
    <t>Records of the Merit Systems Protection Board</t>
  </si>
  <si>
    <t>Records of the Office of the Special Counsel</t>
  </si>
  <si>
    <t>Records of the Judicial Panel on Multidistrict Litigation</t>
  </si>
  <si>
    <t>Records of the Federal Housing Finance Board</t>
  </si>
  <si>
    <t>Records of the U.S. Trade and Development Agency</t>
  </si>
  <si>
    <t>Records of the African Development Foundation</t>
  </si>
  <si>
    <t>Records of the U.S. Postal Service</t>
  </si>
  <si>
    <t>Records of the International Trade Administration</t>
  </si>
  <si>
    <t>Records of U.S. Army Forces in the Middle Pacific (World War II)</t>
  </si>
  <si>
    <t>Records of Headquarters, United States Army Forces, Western Pacific (World War II)</t>
  </si>
  <si>
    <t>Records of General Headquarters, Southwest Pacific Area and United States Army Forces, Pacific (World War II)</t>
  </si>
  <si>
    <t>Records of the Africa-Middle East Theater of Operations (World War II Army)</t>
  </si>
  <si>
    <t>Records of the U.S. Court of Federal Claims</t>
  </si>
  <si>
    <t>Records of the U.S. Court of Customs and Patent Appeals</t>
  </si>
  <si>
    <t>Records of the U.S. Court of Appeals for the Federal Circuit</t>
  </si>
  <si>
    <t>Records of the Defense Commissary Agency</t>
  </si>
  <si>
    <t>Records of the Defense Finance and Accounting Service</t>
  </si>
  <si>
    <t>Records of the Department of Defense Inspector General</t>
  </si>
  <si>
    <t>Records of the Alcohol, Drug Abuse, and Mental Health Administration</t>
  </si>
  <si>
    <t>Records of the Health Resources and Services Administration</t>
  </si>
  <si>
    <t>Records of the Indian Health Service</t>
  </si>
  <si>
    <t>Records of the Historic American Buildings Survey (HABS)/Historic American Engineering Record (HAER) Division</t>
  </si>
  <si>
    <t>Records of the U.S. Agency for Global Media</t>
  </si>
  <si>
    <t>Records of U.S. Central Command</t>
  </si>
  <si>
    <t>Records of the Commission on Security and Cooperation in Europe</t>
  </si>
  <si>
    <t>Records of the Congressional Budget Office</t>
  </si>
  <si>
    <t>Records of the U.S. Court of Veterans Appeals</t>
  </si>
  <si>
    <t>Records of the Office of Government Ethics</t>
  </si>
  <si>
    <t>Records of the National Drug Intelligence Center</t>
  </si>
  <si>
    <t>Records of the Defense Nuclear Facilities Safety Board</t>
  </si>
  <si>
    <t>Records of the National Reconnaissance Office</t>
  </si>
  <si>
    <t>Records of the Naval Criminal Investigative Service</t>
  </si>
  <si>
    <t>Records of U.S. Joint Forces Command</t>
  </si>
  <si>
    <t>Records of U.S. Pacific Command</t>
  </si>
  <si>
    <t>Records of U.S. Southern Command</t>
  </si>
  <si>
    <t>Records of U.S. European Command</t>
  </si>
  <si>
    <t>Records of the U.S. Space Command</t>
  </si>
  <si>
    <t>Records of U.S. Special Operations Command</t>
  </si>
  <si>
    <t>Records of U.S. Transportation Command</t>
  </si>
  <si>
    <t>Records of U.S. Strategic Command</t>
  </si>
  <si>
    <t>Records of the National Geospatial-Intelligence Agency</t>
  </si>
  <si>
    <t>Records of the U.S. Holocaust Memorial Council and Museum</t>
  </si>
  <si>
    <t>Records of the U.S. Synthetic Fuels Corporation</t>
  </si>
  <si>
    <t>Records of the Office of Federal Housing Enterprise Oversight</t>
  </si>
  <si>
    <t>Records of the U.S. Army Materiel Command</t>
  </si>
  <si>
    <t>Records of the Grain Inspection, Packers and Stockyards Administration</t>
  </si>
  <si>
    <t>Records of the U.S. Continental Army Command</t>
  </si>
  <si>
    <t>Records of the U.S. Army Forces in Alaska</t>
  </si>
  <si>
    <t>Records of the U.S. Army Forces in the Caribbean</t>
  </si>
  <si>
    <t>Records of the U.S. Army, Pacific</t>
  </si>
  <si>
    <t>Records of the U.S. Army Military District of Washington</t>
  </si>
  <si>
    <t>Records of the Military Traffic Management Command (Army)</t>
  </si>
  <si>
    <t>Records of the U.S. Army Training and Doctrine Command</t>
  </si>
  <si>
    <t>Records of the U.S. Army Forces Command</t>
  </si>
  <si>
    <t>Records of the Presidio Trust</t>
  </si>
  <si>
    <t>Records of the Defense Contract Management Agency</t>
  </si>
  <si>
    <t>Records of the Transportation Security Administration</t>
  </si>
  <si>
    <t>Records of the Millennium Challenge Corporation</t>
  </si>
  <si>
    <t>Records of the Court Services and Offender Supervision Agency for the District of Columbia</t>
  </si>
  <si>
    <t>Records of the Alcohol and Tobacco Tax and Trade Bureau</t>
  </si>
  <si>
    <t>Records of the Missile Defense Agency</t>
  </si>
  <si>
    <t>Records of the Bureau of Immigration and Customs Enforcement</t>
  </si>
  <si>
    <t>Records of the Defense Technical Information Center</t>
  </si>
  <si>
    <t>Records of the Bureau of Transportation Statistics</t>
  </si>
  <si>
    <t>Records of the Pipeline and Hazardous Materials Safety Administration</t>
  </si>
  <si>
    <t>Records of the USDA Rural Development Programs</t>
  </si>
  <si>
    <t>Records of the United States Institute of Peace</t>
  </si>
  <si>
    <t>Records of the Defense Business Transformation Agency</t>
  </si>
  <si>
    <t>Records of U.S. Northern Command</t>
  </si>
  <si>
    <t>Records of the Office of the Director of National Intelligence</t>
  </si>
  <si>
    <t>Records of the Office of Compliance</t>
  </si>
  <si>
    <t>Records of the National Council on Disability</t>
  </si>
  <si>
    <t>Records of the Council on Environmental Quality</t>
  </si>
  <si>
    <t>Records of the Office of National Drug Control Policy</t>
  </si>
  <si>
    <t>Records of the Executive Office for Immigration Review</t>
  </si>
  <si>
    <t>Records of the National Wildfire Coordinating Group</t>
  </si>
  <si>
    <t>Records of the Food Safety and Inspection Service</t>
  </si>
  <si>
    <t>Records of the United States Election Assistance Commission</t>
  </si>
  <si>
    <t>Records of the Federal Financial Institutions Examination Council</t>
  </si>
  <si>
    <t>Records of the Bureau of Ocean Energy Management</t>
  </si>
  <si>
    <t>Records of the Joint Board for the Enrollment of Actuaries</t>
  </si>
  <si>
    <t>Records of the Denali Commission</t>
  </si>
  <si>
    <t>Records of the Marine Mammal Commission</t>
  </si>
  <si>
    <t>Records of the Strategic Systems Program</t>
  </si>
  <si>
    <t>Records of the Naval Nuclear Propulsion Program</t>
  </si>
  <si>
    <t>Records of the Council of the Inspectors General on Integrity and Efficiency</t>
  </si>
  <si>
    <t>Records of the National Guard of the United States</t>
  </si>
  <si>
    <t>Records of the National Indian Gaming Commission</t>
  </si>
  <si>
    <t>Records of the Institute of Museum and Library Services</t>
  </si>
  <si>
    <t>Records of the Cybersecurity and Infrastructure Security Agency</t>
  </si>
  <si>
    <t>Records of the United States Capitol Police</t>
  </si>
  <si>
    <t>Records of U.S. Cyber Command</t>
  </si>
  <si>
    <t>Records of U.S. Africa Command</t>
  </si>
  <si>
    <t>Records of the United States Space Force</t>
  </si>
  <si>
    <t>Records of the United States Intellectual Property Enforcement Coordinator</t>
  </si>
  <si>
    <t>Records of the Chemical Safety and Hazard Investigation Board</t>
  </si>
  <si>
    <t>Records of the Naval Education and Training Command</t>
  </si>
  <si>
    <t>Records of the Office of the National Cyber Director</t>
  </si>
  <si>
    <t>Records of the Administration for Strategic Preparedness and Response</t>
  </si>
  <si>
    <t>Records of the Federal Permitting Improvement Steering Council</t>
  </si>
  <si>
    <t>Records of the Office of Pandemic Preparedness and Response Policy</t>
  </si>
  <si>
    <t>Records of the Social Security Advisory Board</t>
  </si>
  <si>
    <t>This Record Group number was canceled</t>
  </si>
  <si>
    <t>This Record Group number was canceled, see record group 220</t>
  </si>
  <si>
    <t>This Record Group number was canceled, see record group 489</t>
  </si>
  <si>
    <t>This Record Group number was canceled, see record group 291</t>
  </si>
  <si>
    <t>Records of the St. Lawrence Seaway Development Corporation</t>
  </si>
  <si>
    <t>This Record Group number was canceled, see record group 369</t>
  </si>
  <si>
    <t>This Record Group number was canceled, see record group 375</t>
  </si>
  <si>
    <t>This Record Group number was canceled, see record group 338</t>
  </si>
  <si>
    <t>This Record Group number was canceled, see record group 374</t>
  </si>
  <si>
    <t>RG</t>
  </si>
  <si>
    <t>Title</t>
  </si>
  <si>
    <t>Total Pages</t>
  </si>
  <si>
    <t>Digital Pages</t>
  </si>
  <si>
    <t>NARA RG Rate</t>
  </si>
  <si>
    <t>Exact Fit</t>
  </si>
  <si>
    <t>Rounded Exact</t>
  </si>
  <si>
    <t>Truncated Fit</t>
  </si>
  <si>
    <t>Rounded Truncated</t>
  </si>
  <si>
    <t>Samples/Box</t>
  </si>
  <si>
    <t>Exact - Samples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</si>
</sst>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0" fontId="0" fillId="0" borderId="0" xfId="0" applyNumberFormat="1"/>
    <xf numFmtId="0" fontId="1" fillId="0" borderId="0" xfId="0" applyFont="1" applyAlignment="1">
      <alignment horizontal="center"/>
    </xf>
    <xf numFmtId="10" fontId="1" fillId="0" borderId="0" xfId="0" applyNumberFormat="1" applyFont="1" applyAlignment="1">
      <alignment horizontal="center"/>
    </xf>
    <xf numFmtId="0" fontId="0" fillId="0" borderId="0" xfId="0" applyAlignment="1"/>
    <xf numFmtId="3" fontId="0" fillId="0" borderId="0" xfId="0" applyNumberFormat="1" applyAlignment="1"/>
    <xf numFmtId="0" fontId="0" fillId="0" borderId="0" xfId="0" applyAlignment="1">
      <alignment horizontal="center"/>
    </xf>
    <xf numFmtId="168" fontId="1" fillId="0" borderId="0" xfId="0" applyNumberFormat="1" applyFont="1" applyAlignment="1">
      <alignment horizontal="center"/>
    </xf>
    <xf numFmtId="168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0EFD-1C94-4A05-9013-9AD0E2E3C49F}">
  <dimension ref="A1:K129"/>
  <sheetViews>
    <sheetView tabSelected="1" workbookViewId="0">
      <pane ySplit="1" topLeftCell="A2" activePane="bottomLeft" state="frozen"/>
      <selection activeCell="B1" sqref="B1"/>
      <selection pane="bottomLeft" activeCell="D12" sqref="D12"/>
    </sheetView>
  </sheetViews>
  <sheetFormatPr defaultRowHeight="14.75" x14ac:dyDescent="0.75"/>
  <cols>
    <col min="1" max="1" width="3.7265625" bestFit="1" customWidth="1"/>
    <col min="2" max="2" width="105.7265625" customWidth="1"/>
    <col min="3" max="3" width="11.90625" style="5" bestFit="1" customWidth="1"/>
    <col min="4" max="4" width="12.1796875" bestFit="1" customWidth="1"/>
    <col min="5" max="5" width="13.1328125" style="2" bestFit="1" customWidth="1"/>
    <col min="6" max="6" width="8.7265625" style="9"/>
    <col min="7" max="7" width="13.81640625" style="11" bestFit="1" customWidth="1"/>
    <col min="8" max="8" width="12.04296875" style="7" bestFit="1" customWidth="1"/>
    <col min="9" max="9" width="17.90625" bestFit="1" customWidth="1"/>
    <col min="10" max="10" width="12.04296875" style="3" bestFit="1" customWidth="1"/>
    <col min="11" max="11" width="14.5" style="13" bestFit="1" customWidth="1"/>
  </cols>
  <sheetData>
    <row r="1" spans="1:11" s="3" customFormat="1" x14ac:dyDescent="0.75">
      <c r="A1" s="3" t="s">
        <v>605</v>
      </c>
      <c r="B1" s="3" t="s">
        <v>606</v>
      </c>
      <c r="C1" s="3" t="s">
        <v>608</v>
      </c>
      <c r="D1" s="3" t="s">
        <v>607</v>
      </c>
      <c r="E1" s="4" t="s">
        <v>609</v>
      </c>
      <c r="F1" s="3" t="s">
        <v>610</v>
      </c>
      <c r="G1" s="3" t="s">
        <v>611</v>
      </c>
      <c r="H1" s="3" t="s">
        <v>612</v>
      </c>
      <c r="I1" s="3" t="s">
        <v>613</v>
      </c>
      <c r="J1" s="3" t="s">
        <v>614</v>
      </c>
      <c r="K1" s="12" t="s">
        <v>615</v>
      </c>
    </row>
    <row r="2" spans="1:11" x14ac:dyDescent="0.75">
      <c r="A2">
        <v>186</v>
      </c>
      <c r="B2" t="s">
        <v>0</v>
      </c>
      <c r="C2" s="6">
        <v>9747</v>
      </c>
      <c r="D2" s="1">
        <v>9747</v>
      </c>
      <c r="E2" s="2">
        <f>C2/D2</f>
        <v>1</v>
      </c>
      <c r="F2" s="9">
        <f>E2/E$128*630</f>
        <v>47.283850421172986</v>
      </c>
      <c r="G2" s="11">
        <f>ROUND(F2,0)</f>
        <v>47</v>
      </c>
      <c r="H2" s="9">
        <f>E2/E$129*(630-65)</f>
        <v>44.150595180528605</v>
      </c>
      <c r="I2" s="11">
        <f>ROUND(H2,0)</f>
        <v>44</v>
      </c>
      <c r="J2" s="3">
        <v>44</v>
      </c>
      <c r="K2" s="13">
        <f>F2-J2</f>
        <v>3.2838504211729855</v>
      </c>
    </row>
    <row r="3" spans="1:11" x14ac:dyDescent="0.75">
      <c r="A3">
        <v>85</v>
      </c>
      <c r="B3" t="s">
        <v>1</v>
      </c>
      <c r="C3" s="6">
        <v>47952963</v>
      </c>
      <c r="D3" s="1">
        <v>51592475</v>
      </c>
      <c r="E3" s="2">
        <f>C3/D3</f>
        <v>0.92945653411665174</v>
      </c>
      <c r="F3" s="9">
        <f t="shared" ref="F3:F66" si="0">E3/E$128*630</f>
        <v>43.948283732153634</v>
      </c>
      <c r="G3" s="11">
        <f t="shared" ref="G3:G66" si="1">ROUND(F3,0)</f>
        <v>44</v>
      </c>
      <c r="H3" s="9">
        <f t="shared" ref="H3:H62" si="2">E3/E$129*(630-65)</f>
        <v>41.036059175681466</v>
      </c>
      <c r="I3" s="11">
        <f t="shared" ref="I3:J66" si="3">ROUND(H3,0)</f>
        <v>41</v>
      </c>
      <c r="J3" s="3">
        <v>41</v>
      </c>
      <c r="K3" s="13">
        <f t="shared" ref="K3:K66" si="4">F3-J3</f>
        <v>2.9482837321536337</v>
      </c>
    </row>
    <row r="4" spans="1:11" x14ac:dyDescent="0.75">
      <c r="A4">
        <v>239</v>
      </c>
      <c r="B4" t="s">
        <v>2</v>
      </c>
      <c r="C4" s="6">
        <v>161148</v>
      </c>
      <c r="D4" s="1">
        <v>178825</v>
      </c>
      <c r="E4" s="2">
        <f>C4/D4</f>
        <v>0.90114916818118274</v>
      </c>
      <c r="F4" s="9">
        <f t="shared" si="0"/>
        <v>42.609802475443509</v>
      </c>
      <c r="G4" s="11">
        <f t="shared" si="1"/>
        <v>43</v>
      </c>
      <c r="H4" s="9">
        <f t="shared" si="2"/>
        <v>39.786272121637488</v>
      </c>
      <c r="I4" s="11">
        <f t="shared" si="3"/>
        <v>40</v>
      </c>
      <c r="J4" s="3">
        <v>40</v>
      </c>
      <c r="K4" s="13">
        <f t="shared" si="4"/>
        <v>2.6098024754435087</v>
      </c>
    </row>
    <row r="5" spans="1:11" x14ac:dyDescent="0.75">
      <c r="A5">
        <v>64</v>
      </c>
      <c r="B5" t="s">
        <v>3</v>
      </c>
      <c r="C5" s="6">
        <v>65589800</v>
      </c>
      <c r="D5" s="1">
        <v>78646850</v>
      </c>
      <c r="E5" s="2">
        <f>C5/D5</f>
        <v>0.83397872896371561</v>
      </c>
      <c r="F5" s="9">
        <f t="shared" si="0"/>
        <v>39.433725474760294</v>
      </c>
      <c r="G5" s="11">
        <f t="shared" si="1"/>
        <v>39</v>
      </c>
      <c r="H5" s="9">
        <f t="shared" si="2"/>
        <v>36.820657251648797</v>
      </c>
      <c r="I5" s="11">
        <f t="shared" si="3"/>
        <v>37</v>
      </c>
      <c r="J5" s="3">
        <v>37</v>
      </c>
      <c r="K5" s="13">
        <f t="shared" si="4"/>
        <v>2.4337254747602941</v>
      </c>
    </row>
    <row r="6" spans="1:11" x14ac:dyDescent="0.75">
      <c r="A6">
        <v>499</v>
      </c>
      <c r="B6" t="s">
        <v>4</v>
      </c>
      <c r="C6" s="6">
        <v>1900112</v>
      </c>
      <c r="D6" s="1">
        <v>2654450</v>
      </c>
      <c r="E6" s="2">
        <f>C6/D6</f>
        <v>0.71582135658987733</v>
      </c>
      <c r="F6" s="9">
        <f t="shared" si="0"/>
        <v>33.84678995327689</v>
      </c>
      <c r="G6" s="11">
        <f t="shared" si="1"/>
        <v>34</v>
      </c>
      <c r="H6" s="9">
        <f t="shared" si="2"/>
        <v>31.603938936376487</v>
      </c>
      <c r="I6" s="11">
        <f t="shared" si="3"/>
        <v>32</v>
      </c>
      <c r="J6" s="3">
        <v>32</v>
      </c>
      <c r="K6" s="13">
        <f t="shared" si="4"/>
        <v>1.8467899532768897</v>
      </c>
    </row>
    <row r="7" spans="1:11" x14ac:dyDescent="0.75">
      <c r="A7">
        <v>272</v>
      </c>
      <c r="B7" t="s">
        <v>5</v>
      </c>
      <c r="C7" s="6">
        <v>923099</v>
      </c>
      <c r="D7" s="1">
        <v>1365840</v>
      </c>
      <c r="E7" s="2">
        <f>C7/D7</f>
        <v>0.67584709775669183</v>
      </c>
      <c r="F7" s="9">
        <f t="shared" si="0"/>
        <v>31.956653077911295</v>
      </c>
      <c r="G7" s="11">
        <f t="shared" si="1"/>
        <v>32</v>
      </c>
      <c r="H7" s="9">
        <f t="shared" si="2"/>
        <v>29.839051616990844</v>
      </c>
      <c r="I7" s="11">
        <f t="shared" si="3"/>
        <v>30</v>
      </c>
      <c r="J7" s="3">
        <v>30</v>
      </c>
      <c r="K7" s="13">
        <f t="shared" si="4"/>
        <v>1.9566530779112945</v>
      </c>
    </row>
    <row r="8" spans="1:11" x14ac:dyDescent="0.75">
      <c r="A8">
        <v>93</v>
      </c>
      <c r="B8" t="s">
        <v>6</v>
      </c>
      <c r="C8" s="6">
        <v>2751994</v>
      </c>
      <c r="D8" s="1">
        <v>4200800</v>
      </c>
      <c r="E8" s="2">
        <f>C8/D8</f>
        <v>0.65511188345077132</v>
      </c>
      <c r="F8" s="9">
        <f t="shared" si="0"/>
        <v>30.976212306219182</v>
      </c>
      <c r="G8" s="11">
        <f t="shared" si="1"/>
        <v>31</v>
      </c>
      <c r="H8" s="9">
        <f t="shared" si="2"/>
        <v>28.923579564188639</v>
      </c>
      <c r="I8" s="11">
        <f t="shared" si="3"/>
        <v>29</v>
      </c>
      <c r="J8" s="3">
        <v>29</v>
      </c>
      <c r="K8" s="13">
        <f t="shared" si="4"/>
        <v>1.9762123062191819</v>
      </c>
    </row>
    <row r="9" spans="1:11" x14ac:dyDescent="0.75">
      <c r="A9">
        <v>109</v>
      </c>
      <c r="B9" t="s">
        <v>7</v>
      </c>
      <c r="C9" s="6">
        <v>14354045</v>
      </c>
      <c r="D9" s="1">
        <v>22980575</v>
      </c>
      <c r="E9" s="2">
        <f>C9/D9</f>
        <v>0.62461644236491032</v>
      </c>
      <c r="F9" s="9">
        <f t="shared" si="0"/>
        <v>29.53427043138764</v>
      </c>
      <c r="G9" s="11">
        <f t="shared" si="1"/>
        <v>30</v>
      </c>
      <c r="H9" s="9">
        <f t="shared" si="2"/>
        <v>27.577187689955135</v>
      </c>
      <c r="I9" s="11">
        <f t="shared" si="3"/>
        <v>28</v>
      </c>
      <c r="J9" s="3">
        <v>28</v>
      </c>
      <c r="K9" s="13">
        <f t="shared" si="4"/>
        <v>1.5342704313876396</v>
      </c>
    </row>
    <row r="10" spans="1:11" x14ac:dyDescent="0.75">
      <c r="A10">
        <v>147</v>
      </c>
      <c r="B10" t="s">
        <v>8</v>
      </c>
      <c r="C10" s="6">
        <v>53289057</v>
      </c>
      <c r="D10" s="1">
        <v>91224200</v>
      </c>
      <c r="E10" s="2">
        <f>C10/D10</f>
        <v>0.58415482952988351</v>
      </c>
      <c r="F10" s="9">
        <f t="shared" si="0"/>
        <v>27.621089582296818</v>
      </c>
      <c r="G10" s="11">
        <f t="shared" si="1"/>
        <v>28</v>
      </c>
      <c r="H10" s="9">
        <f t="shared" si="2"/>
        <v>25.790783401324585</v>
      </c>
      <c r="I10" s="11">
        <f t="shared" si="3"/>
        <v>26</v>
      </c>
      <c r="J10" s="3">
        <v>26</v>
      </c>
      <c r="K10" s="13">
        <f t="shared" si="4"/>
        <v>1.6210895822968183</v>
      </c>
    </row>
    <row r="11" spans="1:11" x14ac:dyDescent="0.75">
      <c r="A11">
        <v>69</v>
      </c>
      <c r="B11" t="s">
        <v>9</v>
      </c>
      <c r="C11" s="6">
        <v>10108553</v>
      </c>
      <c r="D11" s="1">
        <v>17659050</v>
      </c>
      <c r="E11" s="2">
        <f>C11/D11</f>
        <v>0.57242903780214682</v>
      </c>
      <c r="F11" s="9">
        <f t="shared" si="0"/>
        <v>27.066649000172688</v>
      </c>
      <c r="G11" s="11">
        <f t="shared" si="1"/>
        <v>27</v>
      </c>
      <c r="H11" s="9">
        <f t="shared" si="2"/>
        <v>25.273082717582092</v>
      </c>
      <c r="I11" s="11">
        <f t="shared" si="3"/>
        <v>25</v>
      </c>
      <c r="J11" s="3">
        <v>25</v>
      </c>
      <c r="K11" s="13">
        <f t="shared" si="4"/>
        <v>2.0666490001726885</v>
      </c>
    </row>
    <row r="12" spans="1:11" x14ac:dyDescent="0.75">
      <c r="A12">
        <v>256</v>
      </c>
      <c r="B12" t="s">
        <v>10</v>
      </c>
      <c r="C12" s="6">
        <v>450110</v>
      </c>
      <c r="D12" s="1">
        <v>791400</v>
      </c>
      <c r="E12" s="2">
        <f>C12/D12</f>
        <v>0.56875157947940358</v>
      </c>
      <c r="F12" s="9">
        <f t="shared" si="0"/>
        <v>26.892764610909996</v>
      </c>
      <c r="G12" s="11">
        <f t="shared" si="1"/>
        <v>27</v>
      </c>
      <c r="H12" s="9">
        <f t="shared" si="2"/>
        <v>25.110720743881387</v>
      </c>
      <c r="I12" s="11">
        <f t="shared" si="3"/>
        <v>25</v>
      </c>
      <c r="J12" s="3">
        <v>25</v>
      </c>
      <c r="K12" s="13">
        <f t="shared" si="4"/>
        <v>1.892764610909996</v>
      </c>
    </row>
    <row r="13" spans="1:11" x14ac:dyDescent="0.75">
      <c r="A13">
        <v>33</v>
      </c>
      <c r="B13" t="s">
        <v>11</v>
      </c>
      <c r="C13" s="6">
        <v>5394288</v>
      </c>
      <c r="D13" s="1">
        <v>12645325</v>
      </c>
      <c r="E13" s="2">
        <f>C13/D13</f>
        <v>0.4265835793069771</v>
      </c>
      <c r="F13" s="9">
        <f t="shared" si="0"/>
        <v>20.17051415607969</v>
      </c>
      <c r="G13" s="11">
        <f t="shared" si="1"/>
        <v>20</v>
      </c>
      <c r="H13" s="9">
        <f t="shared" si="2"/>
        <v>18.833918920643264</v>
      </c>
      <c r="I13" s="11">
        <f t="shared" si="3"/>
        <v>19</v>
      </c>
      <c r="J13" s="3">
        <v>19</v>
      </c>
      <c r="K13" s="13">
        <f t="shared" si="4"/>
        <v>1.1705141560796903</v>
      </c>
    </row>
    <row r="14" spans="1:11" x14ac:dyDescent="0.75">
      <c r="A14">
        <v>87</v>
      </c>
      <c r="B14" t="s">
        <v>12</v>
      </c>
      <c r="C14" s="6">
        <v>1748731</v>
      </c>
      <c r="D14" s="1">
        <v>5329650</v>
      </c>
      <c r="E14" s="2">
        <f>C14/D14</f>
        <v>0.32811366600058167</v>
      </c>
      <c r="F14" s="9">
        <f t="shared" si="0"/>
        <v>15.514477504314216</v>
      </c>
      <c r="G14" s="11">
        <f t="shared" si="1"/>
        <v>16</v>
      </c>
      <c r="H14" s="9">
        <f t="shared" si="2"/>
        <v>14.486413640790854</v>
      </c>
      <c r="I14" s="11">
        <f t="shared" si="3"/>
        <v>14</v>
      </c>
      <c r="J14" s="3">
        <v>15</v>
      </c>
      <c r="K14" s="13">
        <f t="shared" si="4"/>
        <v>0.51447750431421646</v>
      </c>
    </row>
    <row r="15" spans="1:11" x14ac:dyDescent="0.75">
      <c r="A15">
        <v>29</v>
      </c>
      <c r="B15" t="s">
        <v>13</v>
      </c>
      <c r="C15" s="6">
        <v>12149957</v>
      </c>
      <c r="D15" s="1">
        <v>38102250</v>
      </c>
      <c r="E15" s="2">
        <f>C15/D15</f>
        <v>0.31887767782742488</v>
      </c>
      <c r="F15" s="9">
        <f t="shared" si="0"/>
        <v>15.077764421042948</v>
      </c>
      <c r="G15" s="11">
        <f t="shared" si="1"/>
        <v>15</v>
      </c>
      <c r="H15" s="9">
        <f t="shared" si="2"/>
        <v>14.078639265865657</v>
      </c>
      <c r="I15" s="11">
        <f t="shared" si="3"/>
        <v>14</v>
      </c>
      <c r="J15" s="3">
        <v>14</v>
      </c>
      <c r="K15" s="13">
        <f t="shared" si="4"/>
        <v>1.0777644210429482</v>
      </c>
    </row>
    <row r="16" spans="1:11" x14ac:dyDescent="0.75">
      <c r="A16">
        <v>102</v>
      </c>
      <c r="B16" t="s">
        <v>14</v>
      </c>
      <c r="C16" s="6">
        <v>969792</v>
      </c>
      <c r="D16" s="1">
        <v>3523850</v>
      </c>
      <c r="E16" s="2">
        <f>C16/D16</f>
        <v>0.27520808206932756</v>
      </c>
      <c r="F16" s="9">
        <f t="shared" si="0"/>
        <v>13.012897787263984</v>
      </c>
      <c r="G16" s="11">
        <f t="shared" si="1"/>
        <v>13</v>
      </c>
      <c r="H16" s="9">
        <f t="shared" si="2"/>
        <v>12.150600621852576</v>
      </c>
      <c r="I16" s="11">
        <f t="shared" si="3"/>
        <v>12</v>
      </c>
      <c r="J16" s="3">
        <v>12</v>
      </c>
      <c r="K16" s="13">
        <f t="shared" si="4"/>
        <v>1.0128977872639844</v>
      </c>
    </row>
    <row r="17" spans="1:11" x14ac:dyDescent="0.75">
      <c r="A17">
        <v>242</v>
      </c>
      <c r="B17" t="s">
        <v>15</v>
      </c>
      <c r="C17" s="6">
        <v>22141230</v>
      </c>
      <c r="D17" s="1">
        <v>89789550</v>
      </c>
      <c r="E17" s="2">
        <f>C17/D17</f>
        <v>0.24659027693089006</v>
      </c>
      <c r="F17" s="9">
        <f t="shared" si="0"/>
        <v>11.659737769715829</v>
      </c>
      <c r="G17" s="11">
        <f t="shared" si="1"/>
        <v>12</v>
      </c>
      <c r="H17" s="9">
        <f t="shared" si="2"/>
        <v>10.887107492230168</v>
      </c>
      <c r="I17" s="11">
        <f t="shared" si="3"/>
        <v>11</v>
      </c>
      <c r="J17" s="3">
        <v>11</v>
      </c>
      <c r="K17" s="13">
        <f t="shared" si="4"/>
        <v>0.65973776971582865</v>
      </c>
    </row>
    <row r="18" spans="1:11" x14ac:dyDescent="0.75">
      <c r="A18">
        <v>238</v>
      </c>
      <c r="B18" t="s">
        <v>16</v>
      </c>
      <c r="C18" s="6">
        <v>1485617</v>
      </c>
      <c r="D18" s="1">
        <v>7024825</v>
      </c>
      <c r="E18" s="2">
        <f>C18/D18</f>
        <v>0.21148099774727486</v>
      </c>
      <c r="F18" s="9">
        <f t="shared" si="0"/>
        <v>9.9996358644025651</v>
      </c>
      <c r="G18" s="11">
        <f t="shared" si="1"/>
        <v>10</v>
      </c>
      <c r="H18" s="9">
        <f t="shared" si="2"/>
        <v>9.3370119199142128</v>
      </c>
      <c r="I18" s="11">
        <f t="shared" si="3"/>
        <v>9</v>
      </c>
      <c r="J18" s="3">
        <v>9</v>
      </c>
      <c r="K18" s="13">
        <f t="shared" si="4"/>
        <v>0.99963586440256513</v>
      </c>
    </row>
    <row r="19" spans="1:11" x14ac:dyDescent="0.75">
      <c r="A19">
        <v>107</v>
      </c>
      <c r="B19" t="s">
        <v>17</v>
      </c>
      <c r="C19" s="6">
        <v>1328965</v>
      </c>
      <c r="D19" s="1">
        <v>7289875</v>
      </c>
      <c r="E19" s="2">
        <f>C19/D19</f>
        <v>0.18230285155781134</v>
      </c>
      <c r="F19" s="9">
        <f t="shared" si="0"/>
        <v>8.6199807644128548</v>
      </c>
      <c r="G19" s="11">
        <f t="shared" si="1"/>
        <v>9</v>
      </c>
      <c r="H19" s="9">
        <f t="shared" si="2"/>
        <v>8.0487793993849266</v>
      </c>
      <c r="I19" s="11">
        <f t="shared" si="3"/>
        <v>8</v>
      </c>
      <c r="J19" s="3">
        <v>8</v>
      </c>
      <c r="K19" s="13">
        <f t="shared" si="4"/>
        <v>0.61998076441285477</v>
      </c>
    </row>
    <row r="20" spans="1:11" x14ac:dyDescent="0.75">
      <c r="A20">
        <v>351</v>
      </c>
      <c r="B20" t="s">
        <v>18</v>
      </c>
      <c r="C20" s="6">
        <v>887317</v>
      </c>
      <c r="D20" s="1">
        <v>4915650</v>
      </c>
      <c r="E20" s="2">
        <f>C20/D20</f>
        <v>0.18050857974021747</v>
      </c>
      <c r="F20" s="9">
        <f t="shared" si="0"/>
        <v>8.5351406841748201</v>
      </c>
      <c r="G20" s="11">
        <f t="shared" si="1"/>
        <v>9</v>
      </c>
      <c r="H20" s="9">
        <f t="shared" si="2"/>
        <v>7.9695612307225092</v>
      </c>
      <c r="I20" s="11">
        <f t="shared" si="3"/>
        <v>8</v>
      </c>
      <c r="J20" s="3">
        <v>8</v>
      </c>
      <c r="K20" s="13">
        <f t="shared" si="4"/>
        <v>0.53514068417482008</v>
      </c>
    </row>
    <row r="21" spans="1:11" x14ac:dyDescent="0.75">
      <c r="A21">
        <v>94</v>
      </c>
      <c r="B21" t="s">
        <v>19</v>
      </c>
      <c r="C21" s="6">
        <v>23459246</v>
      </c>
      <c r="D21" s="1">
        <v>137275550</v>
      </c>
      <c r="E21" s="2">
        <f>C21/D21</f>
        <v>0.1708916555060242</v>
      </c>
      <c r="F21" s="9">
        <f t="shared" si="0"/>
        <v>8.0804154771734709</v>
      </c>
      <c r="G21" s="11">
        <f t="shared" si="1"/>
        <v>8</v>
      </c>
      <c r="H21" s="9">
        <f t="shared" si="2"/>
        <v>7.5449683019768266</v>
      </c>
      <c r="I21" s="11">
        <f t="shared" si="3"/>
        <v>8</v>
      </c>
      <c r="J21" s="3">
        <v>8</v>
      </c>
      <c r="K21" s="13">
        <f t="shared" si="4"/>
        <v>8.0415477173470862E-2</v>
      </c>
    </row>
    <row r="22" spans="1:11" x14ac:dyDescent="0.75">
      <c r="A22">
        <v>260</v>
      </c>
      <c r="B22" t="s">
        <v>20</v>
      </c>
      <c r="C22" s="6">
        <v>4899196</v>
      </c>
      <c r="D22" s="1">
        <v>32070525</v>
      </c>
      <c r="E22" s="2">
        <f>C22/D22</f>
        <v>0.15276319923044601</v>
      </c>
      <c r="F22" s="9">
        <f t="shared" si="0"/>
        <v>7.2232322622722576</v>
      </c>
      <c r="G22" s="11">
        <f t="shared" si="1"/>
        <v>7</v>
      </c>
      <c r="H22" s="9">
        <f t="shared" si="2"/>
        <v>6.7445861677058607</v>
      </c>
      <c r="I22" s="11">
        <f t="shared" si="3"/>
        <v>7</v>
      </c>
      <c r="J22" s="3">
        <v>7</v>
      </c>
      <c r="K22" s="13">
        <f t="shared" si="4"/>
        <v>0.22323226227225756</v>
      </c>
    </row>
    <row r="23" spans="1:11" x14ac:dyDescent="0.75">
      <c r="A23">
        <v>360</v>
      </c>
      <c r="B23" t="s">
        <v>21</v>
      </c>
      <c r="C23" s="6">
        <v>179731</v>
      </c>
      <c r="D23" s="1">
        <v>1284825</v>
      </c>
      <c r="E23" s="2">
        <f>C23/D23</f>
        <v>0.1398875333216586</v>
      </c>
      <c r="F23" s="9">
        <f t="shared" si="0"/>
        <v>6.6144212013681569</v>
      </c>
      <c r="G23" s="11">
        <f t="shared" si="1"/>
        <v>7</v>
      </c>
      <c r="H23" s="9">
        <f t="shared" si="2"/>
        <v>6.1761178544872548</v>
      </c>
      <c r="I23" s="11">
        <f t="shared" si="3"/>
        <v>6</v>
      </c>
      <c r="J23" s="3">
        <v>6</v>
      </c>
      <c r="K23" s="13">
        <f t="shared" si="4"/>
        <v>0.61442120136815692</v>
      </c>
    </row>
    <row r="24" spans="1:11" x14ac:dyDescent="0.75">
      <c r="A24">
        <v>435</v>
      </c>
      <c r="B24" t="s">
        <v>22</v>
      </c>
      <c r="C24" s="6">
        <v>28874</v>
      </c>
      <c r="D24" s="1">
        <v>231250</v>
      </c>
      <c r="E24" s="2">
        <f>C24/D24</f>
        <v>0.12486054054054053</v>
      </c>
      <c r="F24" s="9">
        <f t="shared" si="0"/>
        <v>5.9038871224257239</v>
      </c>
      <c r="G24" s="11">
        <f t="shared" si="1"/>
        <v>6</v>
      </c>
      <c r="H24" s="9">
        <f t="shared" si="2"/>
        <v>5.5126671794273854</v>
      </c>
      <c r="I24" s="11">
        <f t="shared" si="3"/>
        <v>6</v>
      </c>
      <c r="J24" s="3">
        <v>6</v>
      </c>
      <c r="K24" s="13">
        <f t="shared" si="4"/>
        <v>-9.6112877574276112E-2</v>
      </c>
    </row>
    <row r="25" spans="1:11" x14ac:dyDescent="0.75">
      <c r="A25">
        <v>117</v>
      </c>
      <c r="B25" t="s">
        <v>24</v>
      </c>
      <c r="C25" s="6">
        <v>95069</v>
      </c>
      <c r="D25" s="1">
        <v>973925</v>
      </c>
      <c r="E25" s="2">
        <f>C25/D25</f>
        <v>9.7614292681674666E-2</v>
      </c>
      <c r="F25" s="9">
        <f t="shared" si="0"/>
        <v>4.6155796141289063</v>
      </c>
      <c r="G25" s="11">
        <f t="shared" si="1"/>
        <v>5</v>
      </c>
      <c r="H25" s="9">
        <f t="shared" si="2"/>
        <v>4.3097291200222543</v>
      </c>
      <c r="I25" s="11">
        <f t="shared" si="3"/>
        <v>4</v>
      </c>
      <c r="J25" s="3">
        <v>4</v>
      </c>
      <c r="K25" s="13">
        <f t="shared" si="4"/>
        <v>0.61557961412890627</v>
      </c>
    </row>
    <row r="26" spans="1:11" x14ac:dyDescent="0.75">
      <c r="A26">
        <v>45</v>
      </c>
      <c r="B26" t="s">
        <v>23</v>
      </c>
      <c r="C26" s="6">
        <v>719543</v>
      </c>
      <c r="D26" s="1">
        <v>7534075</v>
      </c>
      <c r="E26" s="2">
        <f>C26/D26</f>
        <v>9.5505154912845974E-2</v>
      </c>
      <c r="F26" s="9">
        <f t="shared" si="0"/>
        <v>4.515851459349963</v>
      </c>
      <c r="G26" s="11">
        <f t="shared" si="1"/>
        <v>5</v>
      </c>
      <c r="H26" s="9">
        <f t="shared" si="2"/>
        <v>4.2166094322107357</v>
      </c>
      <c r="I26" s="11">
        <f t="shared" si="3"/>
        <v>4</v>
      </c>
      <c r="J26" s="3">
        <v>4</v>
      </c>
      <c r="K26" s="13">
        <f t="shared" si="4"/>
        <v>0.51585145934996302</v>
      </c>
    </row>
    <row r="27" spans="1:11" x14ac:dyDescent="0.75">
      <c r="A27">
        <v>247</v>
      </c>
      <c r="B27" t="s">
        <v>25</v>
      </c>
      <c r="C27" s="6">
        <v>350860</v>
      </c>
      <c r="D27" s="1">
        <v>3679525</v>
      </c>
      <c r="E27" s="2">
        <f>C27/D27</f>
        <v>9.5354699315808422E-2</v>
      </c>
      <c r="F27" s="9">
        <f t="shared" si="0"/>
        <v>4.508737339404612</v>
      </c>
      <c r="G27" s="11">
        <f t="shared" si="1"/>
        <v>5</v>
      </c>
      <c r="H27" s="9">
        <f t="shared" si="2"/>
        <v>4.2099667280532858</v>
      </c>
      <c r="I27" s="11">
        <f t="shared" si="3"/>
        <v>4</v>
      </c>
      <c r="J27" s="3">
        <v>4</v>
      </c>
      <c r="K27" s="13">
        <f t="shared" si="4"/>
        <v>0.50873733940461197</v>
      </c>
    </row>
    <row r="28" spans="1:11" x14ac:dyDescent="0.75">
      <c r="A28">
        <v>335</v>
      </c>
      <c r="B28" t="s">
        <v>26</v>
      </c>
      <c r="C28" s="6">
        <v>1392123</v>
      </c>
      <c r="D28" s="1">
        <v>15019325</v>
      </c>
      <c r="E28" s="2">
        <f>C28/D28</f>
        <v>9.2688785947437721E-2</v>
      </c>
      <c r="F28" s="9">
        <f t="shared" si="0"/>
        <v>4.3826826904587657</v>
      </c>
      <c r="G28" s="11">
        <f t="shared" si="1"/>
        <v>4</v>
      </c>
      <c r="H28" s="9">
        <f t="shared" si="2"/>
        <v>4.0922650661399915</v>
      </c>
      <c r="I28" s="11">
        <f t="shared" si="3"/>
        <v>4</v>
      </c>
      <c r="J28" s="3">
        <v>4</v>
      </c>
      <c r="K28" s="13">
        <f t="shared" si="4"/>
        <v>0.38268269045876568</v>
      </c>
    </row>
    <row r="29" spans="1:11" x14ac:dyDescent="0.75">
      <c r="A29">
        <v>90</v>
      </c>
      <c r="B29" t="s">
        <v>27</v>
      </c>
      <c r="C29" s="6">
        <v>846169</v>
      </c>
      <c r="D29" s="1">
        <v>9686350</v>
      </c>
      <c r="E29" s="2">
        <f>C29/D29</f>
        <v>8.7356847522544606E-2</v>
      </c>
      <c r="F29" s="9">
        <f t="shared" si="0"/>
        <v>4.1305681115212156</v>
      </c>
      <c r="G29" s="11">
        <f t="shared" si="1"/>
        <v>4</v>
      </c>
      <c r="H29" s="9">
        <f t="shared" si="2"/>
        <v>3.8568568112150303</v>
      </c>
      <c r="I29" s="11">
        <f t="shared" si="3"/>
        <v>4</v>
      </c>
      <c r="J29" s="3">
        <v>4</v>
      </c>
      <c r="K29" s="13">
        <f t="shared" si="4"/>
        <v>0.13056811152121561</v>
      </c>
    </row>
    <row r="30" spans="1:11" x14ac:dyDescent="0.75">
      <c r="A30">
        <v>407</v>
      </c>
      <c r="B30" t="s">
        <v>19</v>
      </c>
      <c r="C30" s="6">
        <v>7718462</v>
      </c>
      <c r="D30" s="1">
        <v>88529025</v>
      </c>
      <c r="E30" s="2">
        <f>C30/D30</f>
        <v>8.7185665944022314E-2</v>
      </c>
      <c r="F30" s="9">
        <f t="shared" si="0"/>
        <v>4.1224739873675071</v>
      </c>
      <c r="G30" s="11">
        <f t="shared" si="1"/>
        <v>4</v>
      </c>
      <c r="H30" s="9">
        <f t="shared" si="2"/>
        <v>3.8492990426393283</v>
      </c>
      <c r="I30" s="11">
        <f t="shared" si="3"/>
        <v>4</v>
      </c>
      <c r="J30" s="3">
        <v>4</v>
      </c>
      <c r="K30" s="13">
        <f t="shared" si="4"/>
        <v>0.12247398736750714</v>
      </c>
    </row>
    <row r="31" spans="1:11" x14ac:dyDescent="0.75">
      <c r="A31">
        <v>228</v>
      </c>
      <c r="B31" t="s">
        <v>30</v>
      </c>
      <c r="C31" s="6">
        <v>70303</v>
      </c>
      <c r="D31" s="1">
        <v>909000</v>
      </c>
      <c r="E31" s="2">
        <f>C31/D31</f>
        <v>7.7341034103410339E-2</v>
      </c>
      <c r="F31" s="9">
        <f t="shared" si="0"/>
        <v>3.6569818879644935</v>
      </c>
      <c r="G31" s="11">
        <f t="shared" si="1"/>
        <v>4</v>
      </c>
      <c r="H31" s="9">
        <f t="shared" si="2"/>
        <v>3.4146526875431271</v>
      </c>
      <c r="I31" s="11">
        <f t="shared" si="3"/>
        <v>3</v>
      </c>
      <c r="J31" s="3">
        <v>3</v>
      </c>
      <c r="K31" s="13">
        <f t="shared" si="4"/>
        <v>0.65698188796449353</v>
      </c>
    </row>
    <row r="32" spans="1:11" x14ac:dyDescent="0.75">
      <c r="A32">
        <v>28</v>
      </c>
      <c r="B32" t="s">
        <v>29</v>
      </c>
      <c r="C32" s="6">
        <v>765074</v>
      </c>
      <c r="D32" s="1">
        <v>10658650</v>
      </c>
      <c r="E32" s="2">
        <f>C32/D32</f>
        <v>7.1779634381464813E-2</v>
      </c>
      <c r="F32" s="9">
        <f t="shared" si="0"/>
        <v>3.3940174953796682</v>
      </c>
      <c r="G32" s="11">
        <f t="shared" si="1"/>
        <v>3</v>
      </c>
      <c r="H32" s="9">
        <f t="shared" si="2"/>
        <v>3.1691135797824055</v>
      </c>
      <c r="I32" s="11">
        <f t="shared" si="3"/>
        <v>3</v>
      </c>
      <c r="J32" s="3">
        <v>3</v>
      </c>
      <c r="K32" s="13">
        <f t="shared" si="4"/>
        <v>0.39401749537966824</v>
      </c>
    </row>
    <row r="33" spans="1:11" x14ac:dyDescent="0.75">
      <c r="A33">
        <v>27</v>
      </c>
      <c r="B33" t="s">
        <v>28</v>
      </c>
      <c r="C33" s="6">
        <v>631617</v>
      </c>
      <c r="D33" s="1">
        <v>8880275</v>
      </c>
      <c r="E33" s="2">
        <f>C33/D33</f>
        <v>7.1125837882272794E-2</v>
      </c>
      <c r="F33" s="9">
        <f t="shared" si="0"/>
        <v>3.3631034795059862</v>
      </c>
      <c r="G33" s="11">
        <f t="shared" si="1"/>
        <v>3</v>
      </c>
      <c r="H33" s="9">
        <f t="shared" si="2"/>
        <v>3.1402480752161321</v>
      </c>
      <c r="I33" s="11">
        <f t="shared" si="3"/>
        <v>3</v>
      </c>
      <c r="J33" s="3">
        <v>3</v>
      </c>
      <c r="K33" s="13">
        <f t="shared" si="4"/>
        <v>0.3631034795059862</v>
      </c>
    </row>
    <row r="34" spans="1:11" x14ac:dyDescent="0.75">
      <c r="A34">
        <v>59</v>
      </c>
      <c r="B34" t="s">
        <v>31</v>
      </c>
      <c r="C34" s="6">
        <v>11373958</v>
      </c>
      <c r="D34" s="1">
        <v>162942800</v>
      </c>
      <c r="E34" s="2">
        <f>C34/D34</f>
        <v>6.9803378854420076E-2</v>
      </c>
      <c r="F34" s="9">
        <f t="shared" si="0"/>
        <v>3.3005725246448683</v>
      </c>
      <c r="G34" s="11">
        <f t="shared" si="1"/>
        <v>3</v>
      </c>
      <c r="H34" s="9">
        <f t="shared" si="2"/>
        <v>3.0818607220345711</v>
      </c>
      <c r="I34" s="11">
        <f t="shared" si="3"/>
        <v>3</v>
      </c>
      <c r="J34" s="3">
        <v>3</v>
      </c>
      <c r="K34" s="13">
        <f t="shared" si="4"/>
        <v>0.30057252464486828</v>
      </c>
    </row>
    <row r="35" spans="1:11" x14ac:dyDescent="0.75">
      <c r="A35">
        <v>92</v>
      </c>
      <c r="B35" t="s">
        <v>32</v>
      </c>
      <c r="C35" s="6">
        <v>6219322</v>
      </c>
      <c r="D35" s="1">
        <v>91305500</v>
      </c>
      <c r="E35" s="2">
        <f>C35/D35</f>
        <v>6.8115524256479626E-2</v>
      </c>
      <c r="F35" s="9">
        <f t="shared" si="0"/>
        <v>3.220764260303163</v>
      </c>
      <c r="G35" s="11">
        <f t="shared" si="1"/>
        <v>3</v>
      </c>
      <c r="H35" s="9">
        <f t="shared" si="2"/>
        <v>3.0073409369573083</v>
      </c>
      <c r="I35" s="11">
        <f t="shared" si="3"/>
        <v>3</v>
      </c>
      <c r="J35" s="3">
        <v>3</v>
      </c>
      <c r="K35" s="13">
        <f t="shared" si="4"/>
        <v>0.22076426030316298</v>
      </c>
    </row>
    <row r="36" spans="1:11" x14ac:dyDescent="0.75">
      <c r="A36">
        <v>405</v>
      </c>
      <c r="B36" t="s">
        <v>33</v>
      </c>
      <c r="C36" s="6">
        <v>79253</v>
      </c>
      <c r="D36" s="1">
        <v>1271675</v>
      </c>
      <c r="E36" s="2">
        <f>C36/D36</f>
        <v>6.2321741010871491E-2</v>
      </c>
      <c r="F36" s="9">
        <f t="shared" si="0"/>
        <v>2.9468118799451295</v>
      </c>
      <c r="G36" s="11">
        <f t="shared" si="1"/>
        <v>3</v>
      </c>
      <c r="H36" s="9">
        <f t="shared" si="2"/>
        <v>2.7515419583167349</v>
      </c>
      <c r="I36" s="11">
        <f t="shared" si="3"/>
        <v>3</v>
      </c>
      <c r="J36" s="3">
        <v>3</v>
      </c>
      <c r="K36" s="13">
        <f t="shared" si="4"/>
        <v>-5.3188120054870502E-2</v>
      </c>
    </row>
    <row r="37" spans="1:11" x14ac:dyDescent="0.75">
      <c r="A37">
        <v>447</v>
      </c>
      <c r="B37" t="s">
        <v>41</v>
      </c>
      <c r="C37" s="6">
        <v>9277</v>
      </c>
      <c r="D37" s="1">
        <v>161750</v>
      </c>
      <c r="E37" s="2">
        <f>C37/D37</f>
        <v>5.7353941267387944E-2</v>
      </c>
      <c r="F37" s="9">
        <f t="shared" si="0"/>
        <v>2.7119151799519119</v>
      </c>
      <c r="G37" s="11">
        <f t="shared" si="1"/>
        <v>3</v>
      </c>
      <c r="H37" s="9">
        <f t="shared" si="2"/>
        <v>2.5322106429042588</v>
      </c>
      <c r="I37" s="11">
        <f t="shared" si="3"/>
        <v>3</v>
      </c>
      <c r="J37" s="3">
        <v>3</v>
      </c>
      <c r="K37" s="13">
        <f t="shared" si="4"/>
        <v>-0.28808482004808811</v>
      </c>
    </row>
    <row r="38" spans="1:11" x14ac:dyDescent="0.75">
      <c r="A38">
        <v>22</v>
      </c>
      <c r="B38" t="s">
        <v>35</v>
      </c>
      <c r="C38" s="6">
        <v>763993</v>
      </c>
      <c r="D38" s="1">
        <v>13430925</v>
      </c>
      <c r="E38" s="2">
        <f>C38/D38</f>
        <v>5.6883126069127779E-2</v>
      </c>
      <c r="F38" s="9">
        <f t="shared" si="0"/>
        <v>2.6896532245413636</v>
      </c>
      <c r="G38" s="11">
        <f t="shared" si="1"/>
        <v>3</v>
      </c>
      <c r="H38" s="9">
        <f t="shared" si="2"/>
        <v>2.5114238716810338</v>
      </c>
      <c r="I38" s="11">
        <f t="shared" si="3"/>
        <v>3</v>
      </c>
      <c r="J38" s="3">
        <v>3</v>
      </c>
      <c r="K38" s="13">
        <f t="shared" si="4"/>
        <v>-0.31034677545863643</v>
      </c>
    </row>
    <row r="39" spans="1:11" x14ac:dyDescent="0.75">
      <c r="A39">
        <v>243</v>
      </c>
      <c r="B39" t="s">
        <v>40</v>
      </c>
      <c r="C39" s="6">
        <v>186829</v>
      </c>
      <c r="D39" s="1">
        <v>3459300</v>
      </c>
      <c r="E39" s="2">
        <f>C39/D39</f>
        <v>5.4007747232098981E-2</v>
      </c>
      <c r="F39" s="9">
        <f t="shared" si="0"/>
        <v>2.5536942417070878</v>
      </c>
      <c r="G39" s="11">
        <f t="shared" si="1"/>
        <v>3</v>
      </c>
      <c r="H39" s="9">
        <f t="shared" si="2"/>
        <v>2.3844741846567166</v>
      </c>
      <c r="I39" s="11">
        <f t="shared" si="3"/>
        <v>2</v>
      </c>
      <c r="J39" s="3">
        <v>2</v>
      </c>
      <c r="K39" s="13">
        <f t="shared" si="4"/>
        <v>0.55369424170708781</v>
      </c>
    </row>
    <row r="40" spans="1:11" x14ac:dyDescent="0.75">
      <c r="A40">
        <v>110</v>
      </c>
      <c r="B40" t="s">
        <v>37</v>
      </c>
      <c r="C40" s="6">
        <v>304737</v>
      </c>
      <c r="D40" s="1">
        <v>5660550</v>
      </c>
      <c r="E40" s="2">
        <f>C40/D40</f>
        <v>5.3835228025545218E-2</v>
      </c>
      <c r="F40" s="9">
        <f t="shared" si="0"/>
        <v>2.5455368693496201</v>
      </c>
      <c r="G40" s="11">
        <f t="shared" si="1"/>
        <v>3</v>
      </c>
      <c r="H40" s="9">
        <f t="shared" si="2"/>
        <v>2.3768573590072952</v>
      </c>
      <c r="I40" s="11">
        <f t="shared" si="3"/>
        <v>2</v>
      </c>
      <c r="J40" s="3">
        <v>2</v>
      </c>
      <c r="K40" s="13">
        <f t="shared" si="4"/>
        <v>0.54553686934962009</v>
      </c>
    </row>
    <row r="41" spans="1:11" x14ac:dyDescent="0.75">
      <c r="A41">
        <v>15</v>
      </c>
      <c r="B41" t="s">
        <v>34</v>
      </c>
      <c r="C41" s="6">
        <v>17045735</v>
      </c>
      <c r="D41" s="1">
        <v>323662000</v>
      </c>
      <c r="E41" s="2">
        <f>C41/D41</f>
        <v>5.2665234102242463E-2</v>
      </c>
      <c r="F41" s="9">
        <f t="shared" si="0"/>
        <v>2.4902150516864916</v>
      </c>
      <c r="G41" s="11">
        <f t="shared" si="1"/>
        <v>2</v>
      </c>
      <c r="H41" s="9">
        <f t="shared" si="2"/>
        <v>2.3252014309358766</v>
      </c>
      <c r="I41" s="11">
        <f t="shared" si="3"/>
        <v>2</v>
      </c>
      <c r="J41" s="3">
        <v>2</v>
      </c>
      <c r="K41" s="13">
        <f t="shared" si="4"/>
        <v>0.4902150516864916</v>
      </c>
    </row>
    <row r="42" spans="1:11" x14ac:dyDescent="0.75">
      <c r="A42">
        <v>146</v>
      </c>
      <c r="B42" t="s">
        <v>39</v>
      </c>
      <c r="C42" s="6">
        <v>28888032</v>
      </c>
      <c r="D42" s="1">
        <v>556162050</v>
      </c>
      <c r="E42" s="2">
        <f>C42/D42</f>
        <v>5.1941753307331917E-2</v>
      </c>
      <c r="F42" s="9">
        <f t="shared" si="0"/>
        <v>2.4560060939973498</v>
      </c>
      <c r="G42" s="11">
        <f t="shared" si="1"/>
        <v>2</v>
      </c>
      <c r="H42" s="9">
        <f t="shared" si="2"/>
        <v>2.2932593232388943</v>
      </c>
      <c r="I42" s="11">
        <f t="shared" si="3"/>
        <v>2</v>
      </c>
      <c r="J42" s="3">
        <v>2</v>
      </c>
      <c r="K42" s="13">
        <f t="shared" si="4"/>
        <v>0.45600609399734982</v>
      </c>
    </row>
    <row r="43" spans="1:11" x14ac:dyDescent="0.75">
      <c r="A43">
        <v>24</v>
      </c>
      <c r="B43" t="s">
        <v>36</v>
      </c>
      <c r="C43" s="6">
        <v>25465459</v>
      </c>
      <c r="D43" s="1">
        <v>493385100</v>
      </c>
      <c r="E43" s="2">
        <f>C43/D43</f>
        <v>5.1613757691507098E-2</v>
      </c>
      <c r="F43" s="9">
        <f t="shared" si="0"/>
        <v>2.4404971983598887</v>
      </c>
      <c r="G43" s="11">
        <f t="shared" si="1"/>
        <v>2</v>
      </c>
      <c r="H43" s="9">
        <f t="shared" si="2"/>
        <v>2.278778121583624</v>
      </c>
      <c r="I43" s="11">
        <f t="shared" si="3"/>
        <v>2</v>
      </c>
      <c r="J43" s="3">
        <v>2</v>
      </c>
      <c r="K43" s="13">
        <f t="shared" si="4"/>
        <v>0.44049719835988865</v>
      </c>
    </row>
    <row r="44" spans="1:11" x14ac:dyDescent="0.75">
      <c r="A44">
        <v>127</v>
      </c>
      <c r="B44" t="s">
        <v>38</v>
      </c>
      <c r="C44" s="6">
        <v>6194596</v>
      </c>
      <c r="D44" s="1">
        <v>122737600</v>
      </c>
      <c r="E44" s="2">
        <f>C44/D44</f>
        <v>5.047023894878179E-2</v>
      </c>
      <c r="F44" s="9">
        <f t="shared" si="0"/>
        <v>2.3864272291750575</v>
      </c>
      <c r="G44" s="11">
        <f t="shared" si="1"/>
        <v>2</v>
      </c>
      <c r="H44" s="9">
        <f t="shared" si="2"/>
        <v>2.2282910884922122</v>
      </c>
      <c r="I44" s="11">
        <f t="shared" si="3"/>
        <v>2</v>
      </c>
      <c r="J44" s="3">
        <v>2</v>
      </c>
      <c r="K44" s="13">
        <f t="shared" si="4"/>
        <v>0.38642722917505745</v>
      </c>
    </row>
    <row r="45" spans="1:11" x14ac:dyDescent="0.75">
      <c r="A45">
        <v>111</v>
      </c>
      <c r="B45" t="s">
        <v>43</v>
      </c>
      <c r="C45" s="6">
        <v>969395</v>
      </c>
      <c r="D45" s="1">
        <v>19584675</v>
      </c>
      <c r="E45" s="2">
        <f>C45/D45</f>
        <v>4.9497630162359092E-2</v>
      </c>
      <c r="F45" s="9">
        <f t="shared" si="0"/>
        <v>2.3404385407995276</v>
      </c>
      <c r="G45" s="11">
        <f t="shared" si="1"/>
        <v>2</v>
      </c>
      <c r="H45" s="9">
        <f t="shared" si="2"/>
        <v>2.1853498316938387</v>
      </c>
      <c r="I45" s="11">
        <f t="shared" si="3"/>
        <v>2</v>
      </c>
      <c r="J45" s="3">
        <v>2</v>
      </c>
      <c r="K45" s="13">
        <f t="shared" si="4"/>
        <v>0.34043854079952762</v>
      </c>
    </row>
    <row r="46" spans="1:11" x14ac:dyDescent="0.75">
      <c r="A46">
        <v>26</v>
      </c>
      <c r="B46" t="s">
        <v>42</v>
      </c>
      <c r="C46" s="6">
        <v>7456430</v>
      </c>
      <c r="D46" s="1">
        <v>163798325</v>
      </c>
      <c r="E46" s="2">
        <f>C46/D46</f>
        <v>4.5522016174463324E-2</v>
      </c>
      <c r="F46" s="9">
        <f t="shared" si="0"/>
        <v>2.1524562036635411</v>
      </c>
      <c r="G46" s="11">
        <f t="shared" si="1"/>
        <v>2</v>
      </c>
      <c r="H46" s="9">
        <f t="shared" si="2"/>
        <v>2.0098241079202057</v>
      </c>
      <c r="I46" s="11">
        <f t="shared" si="3"/>
        <v>2</v>
      </c>
      <c r="J46" s="3">
        <v>2</v>
      </c>
      <c r="K46" s="13">
        <f t="shared" si="4"/>
        <v>0.15245620366354107</v>
      </c>
    </row>
    <row r="47" spans="1:11" x14ac:dyDescent="0.75">
      <c r="A47">
        <v>165</v>
      </c>
      <c r="B47" t="s">
        <v>48</v>
      </c>
      <c r="C47" s="6">
        <v>1455882</v>
      </c>
      <c r="D47" s="1">
        <v>36794575</v>
      </c>
      <c r="E47" s="2">
        <f>C47/D47</f>
        <v>3.9567843900901151E-2</v>
      </c>
      <c r="F47" s="9">
        <f t="shared" si="0"/>
        <v>1.8709200124985319</v>
      </c>
      <c r="G47" s="11">
        <f t="shared" si="1"/>
        <v>2</v>
      </c>
      <c r="H47" s="9">
        <f t="shared" si="2"/>
        <v>1.7469438582350343</v>
      </c>
      <c r="I47" s="11">
        <f t="shared" si="3"/>
        <v>2</v>
      </c>
      <c r="J47" s="3">
        <v>2</v>
      </c>
      <c r="K47" s="13">
        <f t="shared" si="4"/>
        <v>-0.1290799875014681</v>
      </c>
    </row>
    <row r="48" spans="1:11" x14ac:dyDescent="0.75">
      <c r="A48">
        <v>105</v>
      </c>
      <c r="B48" t="s">
        <v>47</v>
      </c>
      <c r="C48" s="6">
        <v>106057</v>
      </c>
      <c r="D48" s="1">
        <v>3059650</v>
      </c>
      <c r="E48" s="2">
        <f>C48/D48</f>
        <v>3.4663115062180318E-2</v>
      </c>
      <c r="F48" s="9">
        <f t="shared" si="0"/>
        <v>1.6390055477320424</v>
      </c>
      <c r="G48" s="11">
        <f t="shared" si="1"/>
        <v>2</v>
      </c>
      <c r="H48" s="9">
        <f t="shared" si="2"/>
        <v>1.5303971608064066</v>
      </c>
      <c r="I48" s="11">
        <f t="shared" si="3"/>
        <v>2</v>
      </c>
      <c r="J48" s="3">
        <v>2</v>
      </c>
      <c r="K48" s="13">
        <f t="shared" si="4"/>
        <v>-0.36099445226795757</v>
      </c>
    </row>
    <row r="49" spans="1:11" x14ac:dyDescent="0.75">
      <c r="A49">
        <v>224</v>
      </c>
      <c r="B49" t="s">
        <v>50</v>
      </c>
      <c r="C49" s="6">
        <v>6525</v>
      </c>
      <c r="D49" s="1">
        <v>189800</v>
      </c>
      <c r="E49" s="2">
        <f>C49/D49</f>
        <v>3.4378292939936779E-2</v>
      </c>
      <c r="F49" s="9">
        <f t="shared" si="0"/>
        <v>1.6255380611072381</v>
      </c>
      <c r="G49" s="11">
        <f t="shared" si="1"/>
        <v>2</v>
      </c>
      <c r="H49" s="9">
        <f t="shared" si="2"/>
        <v>1.5178220945887735</v>
      </c>
      <c r="I49" s="11">
        <f t="shared" si="3"/>
        <v>2</v>
      </c>
      <c r="J49" s="3">
        <v>2</v>
      </c>
      <c r="K49" s="13">
        <f t="shared" si="4"/>
        <v>-0.37446193889276191</v>
      </c>
    </row>
    <row r="50" spans="1:11" x14ac:dyDescent="0.75">
      <c r="A50">
        <v>9</v>
      </c>
      <c r="B50" t="s">
        <v>44</v>
      </c>
      <c r="C50" s="6">
        <v>548386</v>
      </c>
      <c r="D50" s="1">
        <v>16012000</v>
      </c>
      <c r="E50" s="2">
        <f>C50/D50</f>
        <v>3.424843867099675E-2</v>
      </c>
      <c r="F50" s="9">
        <f t="shared" si="0"/>
        <v>1.619398051278127</v>
      </c>
      <c r="G50" s="11">
        <f t="shared" si="1"/>
        <v>2</v>
      </c>
      <c r="H50" s="9">
        <f t="shared" si="2"/>
        <v>1.5120889513283386</v>
      </c>
      <c r="I50" s="11">
        <f t="shared" si="3"/>
        <v>2</v>
      </c>
      <c r="J50" s="3">
        <v>2</v>
      </c>
      <c r="K50" s="13">
        <f t="shared" si="4"/>
        <v>-0.38060194872187303</v>
      </c>
    </row>
    <row r="51" spans="1:11" x14ac:dyDescent="0.75">
      <c r="A51">
        <v>263</v>
      </c>
      <c r="B51" t="s">
        <v>51</v>
      </c>
      <c r="C51" s="6">
        <v>340417</v>
      </c>
      <c r="D51" s="1">
        <v>9972250</v>
      </c>
      <c r="E51" s="2">
        <f>C51/D51</f>
        <v>3.4136428589335403E-2</v>
      </c>
      <c r="F51" s="9">
        <f t="shared" si="0"/>
        <v>1.6141017833311886</v>
      </c>
      <c r="G51" s="11">
        <f t="shared" si="1"/>
        <v>2</v>
      </c>
      <c r="H51" s="9">
        <f t="shared" si="2"/>
        <v>1.5071436395567706</v>
      </c>
      <c r="I51" s="11">
        <f t="shared" si="3"/>
        <v>2</v>
      </c>
      <c r="J51" s="3">
        <v>2</v>
      </c>
      <c r="K51" s="13">
        <f t="shared" si="4"/>
        <v>-0.38589821666881141</v>
      </c>
    </row>
    <row r="52" spans="1:11" x14ac:dyDescent="0.75">
      <c r="A52">
        <v>75</v>
      </c>
      <c r="B52" t="s">
        <v>46</v>
      </c>
      <c r="C52" s="6">
        <v>6222113</v>
      </c>
      <c r="D52" s="1">
        <v>187943400</v>
      </c>
      <c r="E52" s="2">
        <f>C52/D52</f>
        <v>3.3106312858020022E-2</v>
      </c>
      <c r="F52" s="9">
        <f t="shared" si="0"/>
        <v>1.5653939451751748</v>
      </c>
      <c r="G52" s="11">
        <f t="shared" si="1"/>
        <v>2</v>
      </c>
      <c r="H52" s="9">
        <f t="shared" si="2"/>
        <v>1.4616634169143707</v>
      </c>
      <c r="I52" s="11">
        <f t="shared" si="3"/>
        <v>1</v>
      </c>
      <c r="J52" s="3">
        <v>1</v>
      </c>
      <c r="K52" s="13">
        <f t="shared" si="4"/>
        <v>0.56539394517517483</v>
      </c>
    </row>
    <row r="53" spans="1:11" x14ac:dyDescent="0.75">
      <c r="A53">
        <v>70</v>
      </c>
      <c r="B53" t="s">
        <v>45</v>
      </c>
      <c r="C53" s="6">
        <v>553828</v>
      </c>
      <c r="D53" s="1">
        <v>17787400</v>
      </c>
      <c r="E53" s="2">
        <f>C53/D53</f>
        <v>3.113597265480059E-2</v>
      </c>
      <c r="F53" s="9">
        <f t="shared" si="0"/>
        <v>1.4722286737273236</v>
      </c>
      <c r="G53" s="11">
        <f t="shared" si="1"/>
        <v>1</v>
      </c>
      <c r="H53" s="9">
        <f t="shared" si="2"/>
        <v>1.3746717242341093</v>
      </c>
      <c r="I53" s="11">
        <f t="shared" si="3"/>
        <v>1</v>
      </c>
      <c r="J53" s="3">
        <v>1</v>
      </c>
      <c r="K53" s="13">
        <f t="shared" si="4"/>
        <v>0.47222867372732358</v>
      </c>
    </row>
    <row r="54" spans="1:11" x14ac:dyDescent="0.75">
      <c r="A54">
        <v>179</v>
      </c>
      <c r="B54" t="s">
        <v>49</v>
      </c>
      <c r="C54" s="6">
        <v>273687</v>
      </c>
      <c r="D54" s="1">
        <v>8988450</v>
      </c>
      <c r="E54" s="2">
        <f>C54/D54</f>
        <v>3.0448742552942942E-2</v>
      </c>
      <c r="F54" s="9">
        <f t="shared" si="0"/>
        <v>1.439733788386159</v>
      </c>
      <c r="G54" s="11">
        <f t="shared" si="1"/>
        <v>1</v>
      </c>
      <c r="H54" s="9">
        <f t="shared" si="2"/>
        <v>1.344330106211119</v>
      </c>
      <c r="I54" s="11">
        <f t="shared" si="3"/>
        <v>1</v>
      </c>
      <c r="J54" s="3">
        <v>1</v>
      </c>
      <c r="K54" s="13">
        <f t="shared" si="4"/>
        <v>0.43973378838615895</v>
      </c>
    </row>
    <row r="55" spans="1:11" x14ac:dyDescent="0.75">
      <c r="A55">
        <v>38</v>
      </c>
      <c r="B55" t="s">
        <v>53</v>
      </c>
      <c r="C55" s="6">
        <v>2071448</v>
      </c>
      <c r="D55" s="1">
        <v>69999900</v>
      </c>
      <c r="E55" s="2">
        <f>C55/D55</f>
        <v>2.9592156560223657E-2</v>
      </c>
      <c r="F55" s="9">
        <f t="shared" si="0"/>
        <v>1.3992311044335481</v>
      </c>
      <c r="G55" s="11">
        <f t="shared" si="1"/>
        <v>1</v>
      </c>
      <c r="H55" s="9">
        <f t="shared" si="2"/>
        <v>1.3065113248092586</v>
      </c>
      <c r="I55" s="11">
        <f t="shared" si="3"/>
        <v>1</v>
      </c>
      <c r="J55" s="3">
        <v>1</v>
      </c>
      <c r="K55" s="13">
        <f t="shared" si="4"/>
        <v>0.39923110443354815</v>
      </c>
    </row>
    <row r="56" spans="1:11" x14ac:dyDescent="0.75">
      <c r="A56">
        <v>498</v>
      </c>
      <c r="B56" t="s">
        <v>60</v>
      </c>
      <c r="C56" s="6">
        <v>221765</v>
      </c>
      <c r="D56" s="1">
        <v>7581400</v>
      </c>
      <c r="E56" s="2">
        <f>C56/D56</f>
        <v>2.9251193710924103E-2</v>
      </c>
      <c r="F56" s="9">
        <f t="shared" si="0"/>
        <v>1.3831090680680913</v>
      </c>
      <c r="G56" s="11">
        <f t="shared" si="1"/>
        <v>1</v>
      </c>
      <c r="H56" s="9">
        <f t="shared" si="2"/>
        <v>1.2914576120782344</v>
      </c>
      <c r="I56" s="11">
        <f t="shared" si="3"/>
        <v>1</v>
      </c>
      <c r="J56" s="3">
        <v>1</v>
      </c>
      <c r="K56" s="13">
        <f t="shared" si="4"/>
        <v>0.38310906806809131</v>
      </c>
    </row>
    <row r="57" spans="1:11" x14ac:dyDescent="0.75">
      <c r="A57">
        <v>357</v>
      </c>
      <c r="B57" t="s">
        <v>59</v>
      </c>
      <c r="C57" s="6">
        <v>48984</v>
      </c>
      <c r="D57" s="1">
        <v>1738475</v>
      </c>
      <c r="E57" s="2">
        <f>C57/D57</f>
        <v>2.8176418987906068E-2</v>
      </c>
      <c r="F57" s="9">
        <f t="shared" si="0"/>
        <v>1.3322895808284489</v>
      </c>
      <c r="G57" s="11">
        <f t="shared" si="1"/>
        <v>1</v>
      </c>
      <c r="H57" s="9">
        <f t="shared" si="2"/>
        <v>1.2440056683720002</v>
      </c>
      <c r="I57" s="11">
        <f t="shared" si="3"/>
        <v>1</v>
      </c>
      <c r="J57" s="3">
        <v>1</v>
      </c>
      <c r="K57" s="13">
        <f t="shared" si="4"/>
        <v>0.33228958082844895</v>
      </c>
    </row>
    <row r="58" spans="1:11" x14ac:dyDescent="0.75">
      <c r="A58">
        <v>185</v>
      </c>
      <c r="B58" t="s">
        <v>57</v>
      </c>
      <c r="C58" s="6">
        <v>449112</v>
      </c>
      <c r="D58" s="1">
        <v>16724675</v>
      </c>
      <c r="E58" s="2">
        <f>C58/D58</f>
        <v>2.6853257238182507E-2</v>
      </c>
      <c r="F58" s="9">
        <f t="shared" si="0"/>
        <v>1.2697253985715027</v>
      </c>
      <c r="G58" s="11">
        <f t="shared" si="1"/>
        <v>1</v>
      </c>
      <c r="H58" s="9">
        <f t="shared" si="2"/>
        <v>1.1855872896015955</v>
      </c>
      <c r="I58" s="11">
        <f t="shared" si="3"/>
        <v>1</v>
      </c>
      <c r="J58" s="3">
        <v>1</v>
      </c>
      <c r="K58" s="13">
        <f t="shared" si="4"/>
        <v>0.26972539857150268</v>
      </c>
    </row>
    <row r="59" spans="1:11" x14ac:dyDescent="0.75">
      <c r="A59">
        <v>82</v>
      </c>
      <c r="B59" t="s">
        <v>55</v>
      </c>
      <c r="C59" s="6">
        <v>99362</v>
      </c>
      <c r="D59" s="1">
        <v>4144625</v>
      </c>
      <c r="E59" s="2">
        <f>C59/D59</f>
        <v>2.397370087764273E-2</v>
      </c>
      <c r="F59" s="9">
        <f t="shared" si="0"/>
        <v>1.1335688863404025</v>
      </c>
      <c r="G59" s="11">
        <f t="shared" si="1"/>
        <v>1</v>
      </c>
      <c r="H59" s="9">
        <f t="shared" si="2"/>
        <v>1.0584531624278875</v>
      </c>
      <c r="I59" s="11">
        <f t="shared" si="3"/>
        <v>1</v>
      </c>
      <c r="J59" s="3">
        <v>1</v>
      </c>
      <c r="K59" s="13">
        <f t="shared" si="4"/>
        <v>0.13356888634040254</v>
      </c>
    </row>
    <row r="60" spans="1:11" x14ac:dyDescent="0.75">
      <c r="A60">
        <v>201</v>
      </c>
      <c r="B60" t="s">
        <v>58</v>
      </c>
      <c r="C60" s="5">
        <v>386</v>
      </c>
      <c r="D60" s="1">
        <v>16150</v>
      </c>
      <c r="E60" s="2">
        <f>C60/D60</f>
        <v>2.3900928792569661E-2</v>
      </c>
      <c r="F60" s="9">
        <f t="shared" si="0"/>
        <v>1.1301279419549706</v>
      </c>
      <c r="G60" s="11">
        <f t="shared" si="1"/>
        <v>1</v>
      </c>
      <c r="H60" s="9">
        <f t="shared" si="2"/>
        <v>1.0552402315593834</v>
      </c>
      <c r="I60" s="11">
        <f t="shared" si="3"/>
        <v>1</v>
      </c>
      <c r="J60" s="3">
        <v>1</v>
      </c>
      <c r="K60" s="13">
        <f t="shared" si="4"/>
        <v>0.13012794195497057</v>
      </c>
    </row>
    <row r="61" spans="1:11" x14ac:dyDescent="0.75">
      <c r="A61">
        <v>123</v>
      </c>
      <c r="B61" t="s">
        <v>56</v>
      </c>
      <c r="C61" s="6">
        <v>459741</v>
      </c>
      <c r="D61" s="1">
        <v>20157725</v>
      </c>
      <c r="E61" s="2">
        <f>C61/D61</f>
        <v>2.2807186822917765E-2</v>
      </c>
      <c r="F61" s="9">
        <f t="shared" si="0"/>
        <v>1.0784116102625911</v>
      </c>
      <c r="G61" s="11">
        <f t="shared" si="1"/>
        <v>1</v>
      </c>
      <c r="H61" s="9">
        <f t="shared" si="2"/>
        <v>1.0069508726253287</v>
      </c>
      <c r="I61" s="11">
        <f t="shared" si="3"/>
        <v>1</v>
      </c>
      <c r="J61" s="3">
        <v>1</v>
      </c>
      <c r="K61" s="13">
        <f t="shared" si="4"/>
        <v>7.8411610262591136E-2</v>
      </c>
    </row>
    <row r="62" spans="1:11" x14ac:dyDescent="0.75">
      <c r="A62">
        <v>16</v>
      </c>
      <c r="B62" t="s">
        <v>52</v>
      </c>
      <c r="C62" s="6">
        <v>579360</v>
      </c>
      <c r="D62" s="1">
        <v>26945825</v>
      </c>
      <c r="E62" s="2">
        <f>C62/D62</f>
        <v>2.1500918973533005E-2</v>
      </c>
      <c r="F62" s="9">
        <f t="shared" si="0"/>
        <v>1.0166462366622948</v>
      </c>
      <c r="G62" s="11">
        <f t="shared" si="1"/>
        <v>1</v>
      </c>
      <c r="H62" s="9">
        <f t="shared" si="2"/>
        <v>0.94927836960980227</v>
      </c>
      <c r="I62" s="11">
        <f t="shared" si="3"/>
        <v>1</v>
      </c>
      <c r="J62" s="3">
        <v>1</v>
      </c>
      <c r="K62" s="13">
        <f t="shared" si="4"/>
        <v>1.6646236662294811E-2</v>
      </c>
    </row>
    <row r="63" spans="1:11" x14ac:dyDescent="0.75">
      <c r="A63">
        <v>60</v>
      </c>
      <c r="B63" t="s">
        <v>54</v>
      </c>
      <c r="C63" s="6">
        <v>4467201</v>
      </c>
      <c r="D63" s="1">
        <v>218054400</v>
      </c>
      <c r="E63" s="2">
        <f>C63/D63</f>
        <v>2.0486635445099939E-2</v>
      </c>
      <c r="F63" s="9">
        <f t="shared" si="0"/>
        <v>0.96868700601920621</v>
      </c>
      <c r="G63" s="11">
        <f t="shared" si="1"/>
        <v>1</v>
      </c>
      <c r="H63" s="11">
        <v>1</v>
      </c>
      <c r="I63" s="11">
        <f t="shared" si="3"/>
        <v>1</v>
      </c>
      <c r="J63" s="3">
        <v>1</v>
      </c>
      <c r="K63" s="13">
        <f t="shared" si="4"/>
        <v>-3.1312993980793791E-2</v>
      </c>
    </row>
    <row r="64" spans="1:11" x14ac:dyDescent="0.75">
      <c r="A64">
        <v>527</v>
      </c>
      <c r="B64" t="s">
        <v>61</v>
      </c>
      <c r="C64" s="6">
        <v>3753</v>
      </c>
      <c r="D64" s="1">
        <v>185275</v>
      </c>
      <c r="E64" s="2">
        <f>C64/D64</f>
        <v>2.0256375657805963E-2</v>
      </c>
      <c r="F64" s="9">
        <f t="shared" si="0"/>
        <v>0.95779943667878664</v>
      </c>
      <c r="G64" s="11">
        <f t="shared" si="1"/>
        <v>1</v>
      </c>
      <c r="H64" s="7">
        <v>1</v>
      </c>
      <c r="I64" s="11">
        <f t="shared" si="3"/>
        <v>1</v>
      </c>
      <c r="J64" s="3">
        <v>1</v>
      </c>
      <c r="K64" s="13">
        <f t="shared" si="4"/>
        <v>-4.2200563321213358E-2</v>
      </c>
    </row>
    <row r="65" spans="1:11" x14ac:dyDescent="0.75">
      <c r="A65">
        <v>36</v>
      </c>
      <c r="B65" t="s">
        <v>63</v>
      </c>
      <c r="C65" s="6">
        <v>1232889</v>
      </c>
      <c r="D65" s="1">
        <v>62408675</v>
      </c>
      <c r="E65" s="2">
        <f>C65/D65</f>
        <v>1.9755090137709222E-2</v>
      </c>
      <c r="F65" s="9">
        <f t="shared" si="0"/>
        <v>0.93409672712823244</v>
      </c>
      <c r="G65" s="11">
        <f t="shared" si="1"/>
        <v>1</v>
      </c>
      <c r="H65" s="7">
        <v>1</v>
      </c>
      <c r="I65" s="11">
        <f t="shared" si="3"/>
        <v>1</v>
      </c>
      <c r="J65" s="3">
        <v>1</v>
      </c>
      <c r="K65" s="13">
        <f t="shared" si="4"/>
        <v>-6.590327287176756E-2</v>
      </c>
    </row>
    <row r="66" spans="1:11" x14ac:dyDescent="0.75">
      <c r="A66">
        <v>52</v>
      </c>
      <c r="B66" t="s">
        <v>64</v>
      </c>
      <c r="C66" s="6">
        <v>296036</v>
      </c>
      <c r="D66" s="1">
        <v>15052625</v>
      </c>
      <c r="E66" s="2">
        <f>C66/D66</f>
        <v>1.9666735868328615E-2</v>
      </c>
      <c r="F66" s="9">
        <f t="shared" si="0"/>
        <v>0.92991899707076786</v>
      </c>
      <c r="G66" s="11">
        <f t="shared" si="1"/>
        <v>1</v>
      </c>
      <c r="H66" s="7">
        <v>1</v>
      </c>
      <c r="I66" s="11">
        <f t="shared" si="3"/>
        <v>1</v>
      </c>
      <c r="J66" s="3">
        <v>1</v>
      </c>
      <c r="K66" s="13">
        <f t="shared" si="4"/>
        <v>-7.0081002929232139E-2</v>
      </c>
    </row>
    <row r="67" spans="1:11" x14ac:dyDescent="0.75">
      <c r="A67">
        <v>65</v>
      </c>
      <c r="B67" t="s">
        <v>66</v>
      </c>
      <c r="C67" s="6">
        <v>3424172</v>
      </c>
      <c r="D67" s="1">
        <v>181431450</v>
      </c>
      <c r="E67" s="2">
        <f>C67/D67</f>
        <v>1.8873089533264491E-2</v>
      </c>
      <c r="F67" s="9">
        <f t="shared" ref="F67:F127" si="5">E67/E$128*630</f>
        <v>0.89239234247628374</v>
      </c>
      <c r="G67" s="11">
        <f t="shared" ref="G67:G127" si="6">ROUND(F67,0)</f>
        <v>1</v>
      </c>
      <c r="H67" s="7">
        <v>1</v>
      </c>
      <c r="I67" s="11">
        <f t="shared" ref="I67:J127" si="7">ROUND(H67,0)</f>
        <v>1</v>
      </c>
      <c r="J67" s="3">
        <v>1</v>
      </c>
      <c r="K67" s="13">
        <f t="shared" ref="K67:K127" si="8">F67-J67</f>
        <v>-0.10760765752371626</v>
      </c>
    </row>
    <row r="68" spans="1:11" x14ac:dyDescent="0.75">
      <c r="A68">
        <v>470</v>
      </c>
      <c r="B68" t="s">
        <v>78</v>
      </c>
      <c r="C68" s="5">
        <v>583</v>
      </c>
      <c r="D68" s="1">
        <v>31100</v>
      </c>
      <c r="E68" s="2">
        <f>C68/D68</f>
        <v>1.8745980707395499E-2</v>
      </c>
      <c r="F68" s="9">
        <f t="shared" si="5"/>
        <v>0.88638214776668334</v>
      </c>
      <c r="G68" s="11">
        <f t="shared" si="6"/>
        <v>1</v>
      </c>
      <c r="H68" s="7">
        <v>1</v>
      </c>
      <c r="I68" s="11">
        <f t="shared" si="7"/>
        <v>1</v>
      </c>
      <c r="J68" s="3">
        <v>1</v>
      </c>
      <c r="K68" s="13">
        <f t="shared" si="8"/>
        <v>-0.11361785223331666</v>
      </c>
    </row>
    <row r="69" spans="1:11" x14ac:dyDescent="0.75">
      <c r="A69">
        <v>163</v>
      </c>
      <c r="B69" t="s">
        <v>71</v>
      </c>
      <c r="C69" s="6">
        <v>390425</v>
      </c>
      <c r="D69" s="1">
        <v>21309125</v>
      </c>
      <c r="E69" s="2">
        <f>C69/D69</f>
        <v>1.8321963008804912E-2</v>
      </c>
      <c r="F69" s="9">
        <f t="shared" si="5"/>
        <v>0.86633295833059598</v>
      </c>
      <c r="G69" s="11">
        <f t="shared" si="6"/>
        <v>1</v>
      </c>
      <c r="H69" s="7">
        <v>1</v>
      </c>
      <c r="I69" s="11">
        <f t="shared" si="7"/>
        <v>1</v>
      </c>
      <c r="J69" s="3">
        <v>1</v>
      </c>
      <c r="K69" s="13">
        <f t="shared" si="8"/>
        <v>-0.13366704166940402</v>
      </c>
    </row>
    <row r="70" spans="1:11" x14ac:dyDescent="0.75">
      <c r="A70">
        <v>80</v>
      </c>
      <c r="B70" t="s">
        <v>67</v>
      </c>
      <c r="C70" s="6">
        <v>513940</v>
      </c>
      <c r="D70" s="1">
        <v>29359000</v>
      </c>
      <c r="E70" s="2">
        <f>C70/D70</f>
        <v>1.75053646241357E-2</v>
      </c>
      <c r="F70" s="9">
        <f t="shared" si="5"/>
        <v>0.82772104245572553</v>
      </c>
      <c r="G70" s="11">
        <f t="shared" si="6"/>
        <v>1</v>
      </c>
      <c r="H70" s="7">
        <v>1</v>
      </c>
      <c r="I70" s="11">
        <f t="shared" si="7"/>
        <v>1</v>
      </c>
      <c r="J70" s="3">
        <v>1</v>
      </c>
      <c r="K70" s="13">
        <f t="shared" si="8"/>
        <v>-0.17227895754427447</v>
      </c>
    </row>
    <row r="71" spans="1:11" x14ac:dyDescent="0.75">
      <c r="A71">
        <v>261</v>
      </c>
      <c r="B71" t="s">
        <v>74</v>
      </c>
      <c r="C71" s="6">
        <v>34458</v>
      </c>
      <c r="D71" s="1">
        <v>2130375</v>
      </c>
      <c r="E71" s="2">
        <f>C71/D71</f>
        <v>1.6174617144868862E-2</v>
      </c>
      <c r="F71" s="9">
        <f t="shared" si="5"/>
        <v>0.76479817769771941</v>
      </c>
      <c r="G71" s="11">
        <f t="shared" si="6"/>
        <v>1</v>
      </c>
      <c r="H71" s="7">
        <v>1</v>
      </c>
      <c r="I71" s="11">
        <f t="shared" si="7"/>
        <v>1</v>
      </c>
      <c r="J71" s="3">
        <v>1</v>
      </c>
      <c r="K71" s="13">
        <f t="shared" si="8"/>
        <v>-0.23520182230228059</v>
      </c>
    </row>
    <row r="72" spans="1:11" x14ac:dyDescent="0.75">
      <c r="A72">
        <v>317</v>
      </c>
      <c r="B72" t="s">
        <v>75</v>
      </c>
      <c r="C72" s="6">
        <v>18070</v>
      </c>
      <c r="D72" s="1">
        <v>1130500</v>
      </c>
      <c r="E72" s="2">
        <f>C72/D72</f>
        <v>1.5984077841662982E-2</v>
      </c>
      <c r="F72" s="9">
        <f t="shared" si="5"/>
        <v>0.75578874578557798</v>
      </c>
      <c r="G72" s="11">
        <f t="shared" si="6"/>
        <v>1</v>
      </c>
      <c r="H72" s="7">
        <v>1</v>
      </c>
      <c r="I72" s="11">
        <f t="shared" si="7"/>
        <v>1</v>
      </c>
      <c r="J72" s="3">
        <v>1</v>
      </c>
      <c r="K72" s="13">
        <f t="shared" si="8"/>
        <v>-0.24421125421442202</v>
      </c>
    </row>
    <row r="73" spans="1:11" x14ac:dyDescent="0.75">
      <c r="A73">
        <v>210</v>
      </c>
      <c r="B73" t="s">
        <v>72</v>
      </c>
      <c r="C73" s="6">
        <v>166109</v>
      </c>
      <c r="D73" s="1">
        <v>10433925</v>
      </c>
      <c r="E73" s="2">
        <f>C73/D73</f>
        <v>1.5920087598866199E-2</v>
      </c>
      <c r="F73" s="9">
        <f t="shared" si="5"/>
        <v>0.75276304071676048</v>
      </c>
      <c r="G73" s="11">
        <f t="shared" si="6"/>
        <v>1</v>
      </c>
      <c r="H73" s="7">
        <v>1</v>
      </c>
      <c r="I73" s="11">
        <f t="shared" si="7"/>
        <v>1</v>
      </c>
      <c r="J73" s="3">
        <v>1</v>
      </c>
      <c r="K73" s="13">
        <f t="shared" si="8"/>
        <v>-0.24723695928323952</v>
      </c>
    </row>
    <row r="74" spans="1:11" x14ac:dyDescent="0.75">
      <c r="A74">
        <v>23</v>
      </c>
      <c r="B74" t="s">
        <v>62</v>
      </c>
      <c r="C74" s="6">
        <v>236153</v>
      </c>
      <c r="D74" s="1">
        <v>16282550</v>
      </c>
      <c r="E74" s="2">
        <f>C74/D74</f>
        <v>1.4503440800120374E-2</v>
      </c>
      <c r="F74" s="9">
        <f t="shared" si="5"/>
        <v>0.68577852538522932</v>
      </c>
      <c r="G74" s="11">
        <f t="shared" si="6"/>
        <v>1</v>
      </c>
      <c r="H74" s="7">
        <v>1</v>
      </c>
      <c r="I74" s="11">
        <f t="shared" si="7"/>
        <v>1</v>
      </c>
      <c r="J74" s="3">
        <v>1</v>
      </c>
      <c r="K74" s="13">
        <f t="shared" si="8"/>
        <v>-0.31422147461477068</v>
      </c>
    </row>
    <row r="75" spans="1:11" x14ac:dyDescent="0.75">
      <c r="A75">
        <v>120</v>
      </c>
      <c r="B75" t="s">
        <v>68</v>
      </c>
      <c r="C75" s="6">
        <v>527626</v>
      </c>
      <c r="D75" s="1">
        <v>36414825</v>
      </c>
      <c r="E75" s="2">
        <f>C75/D75</f>
        <v>1.4489318567369196E-2</v>
      </c>
      <c r="F75" s="9">
        <f t="shared" si="5"/>
        <v>0.68511077184420954</v>
      </c>
      <c r="G75" s="11">
        <f t="shared" si="6"/>
        <v>1</v>
      </c>
      <c r="H75" s="7">
        <v>1</v>
      </c>
      <c r="I75" s="11">
        <f t="shared" si="7"/>
        <v>1</v>
      </c>
      <c r="J75" s="3">
        <v>1</v>
      </c>
      <c r="K75" s="13">
        <f t="shared" si="8"/>
        <v>-0.31488922815579046</v>
      </c>
    </row>
    <row r="76" spans="1:11" x14ac:dyDescent="0.75">
      <c r="A76">
        <v>57</v>
      </c>
      <c r="B76" t="s">
        <v>65</v>
      </c>
      <c r="C76" s="6">
        <v>151504</v>
      </c>
      <c r="D76" s="1">
        <v>11347500</v>
      </c>
      <c r="E76" s="2">
        <f>C76/D76</f>
        <v>1.3351310861423221E-2</v>
      </c>
      <c r="F76" s="9">
        <f t="shared" si="5"/>
        <v>0.63130138569811778</v>
      </c>
      <c r="G76" s="11">
        <f t="shared" si="6"/>
        <v>1</v>
      </c>
      <c r="H76" s="7">
        <v>1</v>
      </c>
      <c r="I76" s="11">
        <f t="shared" si="7"/>
        <v>1</v>
      </c>
      <c r="J76" s="3">
        <v>1</v>
      </c>
      <c r="K76" s="13">
        <f t="shared" si="8"/>
        <v>-0.36869861430188222</v>
      </c>
    </row>
    <row r="77" spans="1:11" x14ac:dyDescent="0.75">
      <c r="A77">
        <v>540</v>
      </c>
      <c r="B77" t="s">
        <v>79</v>
      </c>
      <c r="C77" s="5">
        <v>597</v>
      </c>
      <c r="D77" s="1">
        <v>44750</v>
      </c>
      <c r="E77" s="2">
        <f>C77/D77</f>
        <v>1.3340782122905027E-2</v>
      </c>
      <c r="F77" s="9">
        <f t="shared" si="5"/>
        <v>0.63080354640089997</v>
      </c>
      <c r="G77" s="11">
        <f t="shared" si="6"/>
        <v>1</v>
      </c>
      <c r="H77" s="7">
        <v>1</v>
      </c>
      <c r="I77" s="11">
        <f t="shared" si="7"/>
        <v>1</v>
      </c>
      <c r="J77" s="3">
        <v>1</v>
      </c>
      <c r="K77" s="13">
        <f t="shared" si="8"/>
        <v>-0.36919645359910003</v>
      </c>
    </row>
    <row r="78" spans="1:11" x14ac:dyDescent="0.75">
      <c r="A78">
        <v>129</v>
      </c>
      <c r="B78" t="s">
        <v>70</v>
      </c>
      <c r="C78" s="6">
        <v>165216</v>
      </c>
      <c r="D78" s="1">
        <v>12439250</v>
      </c>
      <c r="E78" s="2">
        <f>C78/D78</f>
        <v>1.3281829692304601E-2</v>
      </c>
      <c r="F78" s="9">
        <f t="shared" si="5"/>
        <v>0.62801604849042492</v>
      </c>
      <c r="G78" s="11">
        <f t="shared" si="6"/>
        <v>1</v>
      </c>
      <c r="H78" s="7">
        <v>1</v>
      </c>
      <c r="I78" s="11">
        <f t="shared" si="7"/>
        <v>1</v>
      </c>
      <c r="J78" s="3">
        <v>1</v>
      </c>
      <c r="K78" s="13">
        <f t="shared" si="8"/>
        <v>-0.37198395150957508</v>
      </c>
    </row>
    <row r="79" spans="1:11" x14ac:dyDescent="0.75">
      <c r="A79">
        <v>406</v>
      </c>
      <c r="B79" t="s">
        <v>77</v>
      </c>
      <c r="C79" s="6">
        <v>152897</v>
      </c>
      <c r="D79" s="1">
        <v>12175000</v>
      </c>
      <c r="E79" s="2">
        <f>C79/D79</f>
        <v>1.2558275154004107E-2</v>
      </c>
      <c r="F79" s="9">
        <f t="shared" si="5"/>
        <v>0.59380360392986331</v>
      </c>
      <c r="G79" s="11">
        <f t="shared" si="6"/>
        <v>1</v>
      </c>
      <c r="H79" s="7">
        <v>1</v>
      </c>
      <c r="I79" s="11">
        <f t="shared" si="7"/>
        <v>1</v>
      </c>
      <c r="J79" s="3">
        <v>1</v>
      </c>
      <c r="K79" s="13">
        <f t="shared" si="8"/>
        <v>-0.40619639607013669</v>
      </c>
    </row>
    <row r="80" spans="1:11" x14ac:dyDescent="0.75">
      <c r="A80">
        <v>234</v>
      </c>
      <c r="B80" t="s">
        <v>73</v>
      </c>
      <c r="C80" s="6">
        <v>193294</v>
      </c>
      <c r="D80" s="1">
        <v>16703025</v>
      </c>
      <c r="E80" s="2">
        <f>C80/D80</f>
        <v>1.1572394820698646E-2</v>
      </c>
      <c r="F80" s="9">
        <f t="shared" si="5"/>
        <v>0.5471873857166718</v>
      </c>
      <c r="G80" s="11">
        <f t="shared" si="6"/>
        <v>1</v>
      </c>
      <c r="H80" s="7">
        <v>1</v>
      </c>
      <c r="I80" s="11">
        <f t="shared" si="7"/>
        <v>1</v>
      </c>
      <c r="J80" s="3">
        <v>1</v>
      </c>
      <c r="K80" s="13">
        <f t="shared" si="8"/>
        <v>-0.4528126142833282</v>
      </c>
    </row>
    <row r="81" spans="1:11" x14ac:dyDescent="0.75">
      <c r="A81">
        <v>355</v>
      </c>
      <c r="B81" t="s">
        <v>76</v>
      </c>
      <c r="C81" s="6">
        <v>7783</v>
      </c>
      <c r="D81" s="1">
        <v>696525</v>
      </c>
      <c r="E81" s="2">
        <f>C81/D81</f>
        <v>1.117404256846488E-2</v>
      </c>
      <c r="F81" s="9">
        <f t="shared" si="5"/>
        <v>0.52835175740711304</v>
      </c>
      <c r="G81" s="11">
        <f t="shared" si="6"/>
        <v>1</v>
      </c>
      <c r="H81" s="7">
        <v>1</v>
      </c>
      <c r="I81" s="11">
        <f t="shared" si="7"/>
        <v>1</v>
      </c>
      <c r="J81" s="3">
        <v>1</v>
      </c>
      <c r="K81" s="13">
        <f t="shared" si="8"/>
        <v>-0.47164824259288696</v>
      </c>
    </row>
    <row r="82" spans="1:11" x14ac:dyDescent="0.75">
      <c r="A82">
        <v>125</v>
      </c>
      <c r="B82" t="s">
        <v>69</v>
      </c>
      <c r="C82" s="6">
        <v>362236</v>
      </c>
      <c r="D82" s="1">
        <v>34059700</v>
      </c>
      <c r="E82" s="2">
        <f>C82/D82</f>
        <v>1.0635325619427064E-2</v>
      </c>
      <c r="F82" s="9">
        <f t="shared" si="5"/>
        <v>0.50287914576945825</v>
      </c>
      <c r="G82" s="11">
        <f t="shared" si="6"/>
        <v>1</v>
      </c>
      <c r="H82" s="7">
        <v>1</v>
      </c>
      <c r="I82" s="11">
        <f t="shared" si="7"/>
        <v>1</v>
      </c>
      <c r="J82" s="3">
        <v>1</v>
      </c>
      <c r="K82" s="13">
        <f t="shared" si="8"/>
        <v>-0.49712085423054175</v>
      </c>
    </row>
    <row r="83" spans="1:11" x14ac:dyDescent="0.75">
      <c r="A83">
        <v>595</v>
      </c>
      <c r="B83" t="s">
        <v>305</v>
      </c>
      <c r="C83" s="5">
        <v>223</v>
      </c>
      <c r="D83" s="1">
        <v>23925</v>
      </c>
      <c r="E83" s="2">
        <f>C83/D83</f>
        <v>9.3207941483803552E-3</v>
      </c>
      <c r="F83" s="9">
        <f t="shared" si="5"/>
        <v>0.44072303631856119</v>
      </c>
      <c r="G83" s="11">
        <f t="shared" si="6"/>
        <v>0</v>
      </c>
      <c r="H83" s="7">
        <v>1</v>
      </c>
      <c r="I83" s="11">
        <f t="shared" si="7"/>
        <v>1</v>
      </c>
      <c r="J83" s="3">
        <v>1</v>
      </c>
      <c r="K83" s="13">
        <f t="shared" si="8"/>
        <v>-0.55927696368143875</v>
      </c>
    </row>
    <row r="84" spans="1:11" x14ac:dyDescent="0.75">
      <c r="A84">
        <v>49</v>
      </c>
      <c r="B84" t="s">
        <v>107</v>
      </c>
      <c r="C84" s="6">
        <v>2421800</v>
      </c>
      <c r="D84" s="1">
        <v>264430850</v>
      </c>
      <c r="E84" s="2">
        <f>C84/D84</f>
        <v>9.158538045012524E-3</v>
      </c>
      <c r="F84" s="9">
        <f t="shared" si="5"/>
        <v>0.43305094299699426</v>
      </c>
      <c r="G84" s="11">
        <f t="shared" si="6"/>
        <v>0</v>
      </c>
      <c r="H84" s="7">
        <v>1</v>
      </c>
      <c r="I84" s="11">
        <f t="shared" si="7"/>
        <v>1</v>
      </c>
      <c r="J84" s="3">
        <v>1</v>
      </c>
      <c r="K84" s="13">
        <f t="shared" si="8"/>
        <v>-0.5669490570030058</v>
      </c>
    </row>
    <row r="85" spans="1:11" x14ac:dyDescent="0.75">
      <c r="A85">
        <v>95</v>
      </c>
      <c r="B85" t="s">
        <v>128</v>
      </c>
      <c r="C85" s="6">
        <v>358763</v>
      </c>
      <c r="D85" s="1">
        <v>39601525</v>
      </c>
      <c r="E85" s="2">
        <f>C85/D85</f>
        <v>9.0593228417339983E-3</v>
      </c>
      <c r="F85" s="9">
        <f t="shared" si="5"/>
        <v>0.42835966616566618</v>
      </c>
      <c r="G85" s="11">
        <f t="shared" si="6"/>
        <v>0</v>
      </c>
      <c r="H85" s="7">
        <v>1</v>
      </c>
      <c r="I85" s="11">
        <f t="shared" si="7"/>
        <v>1</v>
      </c>
      <c r="J85" s="3">
        <v>1</v>
      </c>
      <c r="K85" s="13">
        <f t="shared" si="8"/>
        <v>-0.57164033383433388</v>
      </c>
    </row>
    <row r="86" spans="1:11" x14ac:dyDescent="0.75">
      <c r="A86">
        <v>48</v>
      </c>
      <c r="B86" t="s">
        <v>106</v>
      </c>
      <c r="C86" s="6">
        <v>231334</v>
      </c>
      <c r="D86" s="1">
        <v>26466600</v>
      </c>
      <c r="E86" s="2">
        <f>C86/D86</f>
        <v>8.7406013617162756E-3</v>
      </c>
      <c r="F86" s="9">
        <f t="shared" si="5"/>
        <v>0.4132892873784933</v>
      </c>
      <c r="G86" s="11">
        <f t="shared" si="6"/>
        <v>0</v>
      </c>
      <c r="H86" s="7">
        <v>1</v>
      </c>
      <c r="I86" s="11">
        <f t="shared" si="7"/>
        <v>1</v>
      </c>
      <c r="J86" s="3">
        <v>1</v>
      </c>
      <c r="K86" s="13">
        <f t="shared" si="8"/>
        <v>-0.58671071262150676</v>
      </c>
    </row>
    <row r="87" spans="1:11" x14ac:dyDescent="0.75">
      <c r="A87">
        <v>211</v>
      </c>
      <c r="B87" t="s">
        <v>183</v>
      </c>
      <c r="C87" s="6">
        <v>37465</v>
      </c>
      <c r="D87" s="1">
        <v>4390475</v>
      </c>
      <c r="E87" s="2">
        <f>C87/D87</f>
        <v>8.5332452638951367E-3</v>
      </c>
      <c r="F87" s="9">
        <f t="shared" si="5"/>
        <v>0.40348469266520043</v>
      </c>
      <c r="G87" s="11">
        <f t="shared" si="6"/>
        <v>0</v>
      </c>
      <c r="H87" s="7">
        <v>1</v>
      </c>
      <c r="I87" s="11">
        <f t="shared" si="7"/>
        <v>1</v>
      </c>
      <c r="J87" s="3">
        <v>1</v>
      </c>
      <c r="K87" s="13">
        <f t="shared" si="8"/>
        <v>-0.59651530733479952</v>
      </c>
    </row>
    <row r="88" spans="1:11" x14ac:dyDescent="0.75">
      <c r="A88">
        <v>492</v>
      </c>
      <c r="B88" t="s">
        <v>286</v>
      </c>
      <c r="C88" s="6">
        <v>27761</v>
      </c>
      <c r="D88" s="1">
        <v>3385750</v>
      </c>
      <c r="E88" s="2">
        <f>C88/D88</f>
        <v>8.1993649856014171E-3</v>
      </c>
      <c r="F88" s="9">
        <f t="shared" si="5"/>
        <v>0.38769754752778063</v>
      </c>
      <c r="G88" s="11">
        <f t="shared" si="6"/>
        <v>0</v>
      </c>
      <c r="H88" s="7">
        <v>1</v>
      </c>
      <c r="I88" s="11">
        <f t="shared" si="7"/>
        <v>1</v>
      </c>
      <c r="J88" s="3">
        <v>1</v>
      </c>
      <c r="K88" s="13">
        <f t="shared" si="8"/>
        <v>-0.61230245247221937</v>
      </c>
    </row>
    <row r="89" spans="1:11" x14ac:dyDescent="0.75">
      <c r="A89">
        <v>353</v>
      </c>
      <c r="B89" t="s">
        <v>237</v>
      </c>
      <c r="C89" s="6">
        <v>14272</v>
      </c>
      <c r="D89" s="1">
        <v>1892350</v>
      </c>
      <c r="E89" s="2">
        <f>C89/D89</f>
        <v>7.5419452004121855E-3</v>
      </c>
      <c r="F89" s="9">
        <f t="shared" si="5"/>
        <v>0.35661220874097332</v>
      </c>
      <c r="G89" s="11">
        <f t="shared" si="6"/>
        <v>0</v>
      </c>
      <c r="H89" s="7">
        <v>1</v>
      </c>
      <c r="I89" s="11">
        <f t="shared" si="7"/>
        <v>1</v>
      </c>
      <c r="J89" s="3">
        <v>1</v>
      </c>
      <c r="K89" s="13">
        <f t="shared" si="8"/>
        <v>-0.64338779125902668</v>
      </c>
    </row>
    <row r="90" spans="1:11" x14ac:dyDescent="0.75">
      <c r="A90">
        <v>21</v>
      </c>
      <c r="B90" t="s">
        <v>91</v>
      </c>
      <c r="C90" s="6">
        <v>13674719</v>
      </c>
      <c r="D90" s="1">
        <v>1841095825</v>
      </c>
      <c r="E90" s="2">
        <f>C90/D90</f>
        <v>7.4274890064453866E-3</v>
      </c>
      <c r="F90" s="9">
        <f t="shared" si="5"/>
        <v>0.35120027918567043</v>
      </c>
      <c r="G90" s="11">
        <f t="shared" si="6"/>
        <v>0</v>
      </c>
      <c r="H90" s="7">
        <v>1</v>
      </c>
      <c r="I90" s="11">
        <f t="shared" si="7"/>
        <v>1</v>
      </c>
      <c r="J90" s="3">
        <v>1</v>
      </c>
      <c r="K90" s="13">
        <f t="shared" si="8"/>
        <v>-0.64879972081432957</v>
      </c>
    </row>
    <row r="91" spans="1:11" x14ac:dyDescent="0.75">
      <c r="A91">
        <v>142</v>
      </c>
      <c r="B91" t="s">
        <v>152</v>
      </c>
      <c r="C91" s="6">
        <v>260167</v>
      </c>
      <c r="D91" s="1">
        <v>37925675</v>
      </c>
      <c r="E91" s="2">
        <f>C91/D91</f>
        <v>6.8599174569734089E-3</v>
      </c>
      <c r="F91" s="9">
        <f t="shared" si="5"/>
        <v>0.32436331093712406</v>
      </c>
      <c r="G91" s="11">
        <f t="shared" si="6"/>
        <v>0</v>
      </c>
      <c r="H91" s="7">
        <v>1</v>
      </c>
      <c r="I91" s="11">
        <f t="shared" si="7"/>
        <v>1</v>
      </c>
      <c r="J91" s="3">
        <v>1</v>
      </c>
      <c r="K91" s="13">
        <f t="shared" si="8"/>
        <v>-0.67563668906287599</v>
      </c>
    </row>
    <row r="92" spans="1:11" x14ac:dyDescent="0.75">
      <c r="A92">
        <v>425</v>
      </c>
      <c r="B92" t="s">
        <v>262</v>
      </c>
      <c r="C92" s="6">
        <v>1243</v>
      </c>
      <c r="D92" s="1">
        <v>191175</v>
      </c>
      <c r="E92" s="2">
        <f>C92/D92</f>
        <v>6.5018961684320652E-3</v>
      </c>
      <c r="F92" s="9">
        <f t="shared" si="5"/>
        <v>0.30743468588213951</v>
      </c>
      <c r="G92" s="11">
        <f t="shared" si="6"/>
        <v>0</v>
      </c>
      <c r="H92" s="7">
        <v>1</v>
      </c>
      <c r="I92" s="11">
        <f t="shared" si="7"/>
        <v>1</v>
      </c>
      <c r="J92" s="3">
        <v>1</v>
      </c>
      <c r="K92" s="13">
        <f t="shared" si="8"/>
        <v>-0.69256531411786049</v>
      </c>
    </row>
    <row r="93" spans="1:11" x14ac:dyDescent="0.75">
      <c r="A93">
        <v>34</v>
      </c>
      <c r="B93" t="s">
        <v>95</v>
      </c>
      <c r="C93" s="6">
        <v>17770</v>
      </c>
      <c r="D93" s="1">
        <v>2867100</v>
      </c>
      <c r="E93" s="2">
        <f>C93/D93</f>
        <v>6.1979003173938821E-3</v>
      </c>
      <c r="F93" s="9">
        <f t="shared" si="5"/>
        <v>0.29306059153299291</v>
      </c>
      <c r="G93" s="11">
        <f t="shared" si="6"/>
        <v>0</v>
      </c>
      <c r="H93" s="7">
        <v>1</v>
      </c>
      <c r="I93" s="11">
        <f t="shared" si="7"/>
        <v>1</v>
      </c>
      <c r="J93" s="3">
        <v>1</v>
      </c>
      <c r="K93" s="13">
        <f t="shared" si="8"/>
        <v>-0.70693940846700709</v>
      </c>
    </row>
    <row r="94" spans="1:11" x14ac:dyDescent="0.75">
      <c r="A94">
        <v>79</v>
      </c>
      <c r="B94" t="s">
        <v>122</v>
      </c>
      <c r="C94" s="6">
        <v>205354</v>
      </c>
      <c r="D94" s="1">
        <v>35424850</v>
      </c>
      <c r="E94" s="2">
        <f>C94/D94</f>
        <v>5.7968911653824926E-3</v>
      </c>
      <c r="F94" s="9">
        <f t="shared" si="5"/>
        <v>0.27409933477176496</v>
      </c>
      <c r="G94" s="11">
        <f t="shared" si="6"/>
        <v>0</v>
      </c>
      <c r="H94" s="7">
        <v>1</v>
      </c>
      <c r="I94" s="11">
        <f t="shared" si="7"/>
        <v>1</v>
      </c>
      <c r="J94" s="3">
        <v>1</v>
      </c>
      <c r="K94" s="13">
        <f t="shared" si="8"/>
        <v>-0.72590066522823504</v>
      </c>
    </row>
    <row r="95" spans="1:11" x14ac:dyDescent="0.75">
      <c r="A95">
        <v>267</v>
      </c>
      <c r="B95" t="s">
        <v>202</v>
      </c>
      <c r="C95" s="6">
        <v>454670</v>
      </c>
      <c r="D95" s="1">
        <v>80713175</v>
      </c>
      <c r="E95" s="2">
        <f>C95/D95</f>
        <v>5.6331571642423929E-3</v>
      </c>
      <c r="F95" s="9">
        <f t="shared" si="5"/>
        <v>0.26635736075299632</v>
      </c>
      <c r="G95" s="11">
        <f t="shared" si="6"/>
        <v>0</v>
      </c>
      <c r="H95" s="7">
        <v>1</v>
      </c>
      <c r="I95" s="11">
        <f t="shared" si="7"/>
        <v>1</v>
      </c>
      <c r="J95" s="3">
        <v>1</v>
      </c>
      <c r="K95" s="13">
        <f t="shared" si="8"/>
        <v>-0.73364263924700368</v>
      </c>
    </row>
    <row r="96" spans="1:11" x14ac:dyDescent="0.75">
      <c r="A96">
        <v>220</v>
      </c>
      <c r="B96" t="s">
        <v>187</v>
      </c>
      <c r="C96" s="6">
        <v>144481</v>
      </c>
      <c r="D96" s="1">
        <v>25784600</v>
      </c>
      <c r="E96" s="2">
        <f>C96/D96</f>
        <v>5.6033834149065717E-3</v>
      </c>
      <c r="F96" s="9">
        <f t="shared" si="5"/>
        <v>0.26494954324292386</v>
      </c>
      <c r="G96" s="11">
        <f t="shared" si="6"/>
        <v>0</v>
      </c>
      <c r="H96" s="7">
        <v>1</v>
      </c>
      <c r="I96" s="11">
        <f t="shared" si="7"/>
        <v>1</v>
      </c>
      <c r="J96" s="3">
        <v>1</v>
      </c>
      <c r="K96" s="13">
        <f t="shared" si="8"/>
        <v>-0.73505045675707614</v>
      </c>
    </row>
    <row r="97" spans="1:11" x14ac:dyDescent="0.75">
      <c r="A97">
        <v>465</v>
      </c>
      <c r="B97" t="s">
        <v>277</v>
      </c>
      <c r="C97" s="6">
        <v>1909</v>
      </c>
      <c r="D97" s="1">
        <v>348750</v>
      </c>
      <c r="E97" s="2">
        <f>C97/D97</f>
        <v>5.4738351254480285E-3</v>
      </c>
      <c r="F97" s="9">
        <f t="shared" si="5"/>
        <v>0.25882400130184724</v>
      </c>
      <c r="G97" s="11">
        <f t="shared" si="6"/>
        <v>0</v>
      </c>
      <c r="H97" s="7">
        <v>1</v>
      </c>
      <c r="I97" s="11">
        <f t="shared" si="7"/>
        <v>1</v>
      </c>
      <c r="J97" s="3">
        <v>1</v>
      </c>
      <c r="K97" s="13">
        <f t="shared" si="8"/>
        <v>-0.74117599869815276</v>
      </c>
    </row>
    <row r="98" spans="1:11" x14ac:dyDescent="0.75">
      <c r="A98">
        <v>166</v>
      </c>
      <c r="B98" t="s">
        <v>164</v>
      </c>
      <c r="C98" s="6">
        <v>40454</v>
      </c>
      <c r="D98" s="1">
        <v>8082375</v>
      </c>
      <c r="E98" s="2">
        <f>C98/D98</f>
        <v>5.0052119581187457E-3</v>
      </c>
      <c r="F98" s="9">
        <f t="shared" si="5"/>
        <v>0.23666569355395312</v>
      </c>
      <c r="G98" s="11">
        <f t="shared" si="6"/>
        <v>0</v>
      </c>
      <c r="H98" s="7">
        <v>1</v>
      </c>
      <c r="I98" s="11">
        <f t="shared" si="7"/>
        <v>1</v>
      </c>
      <c r="J98" s="3">
        <v>1</v>
      </c>
      <c r="K98" s="13">
        <f t="shared" si="8"/>
        <v>-0.76333430644604694</v>
      </c>
    </row>
    <row r="99" spans="1:11" x14ac:dyDescent="0.75">
      <c r="A99">
        <v>11</v>
      </c>
      <c r="B99" t="s">
        <v>85</v>
      </c>
      <c r="C99" s="6">
        <v>44777</v>
      </c>
      <c r="D99" s="1">
        <v>9091075</v>
      </c>
      <c r="E99" s="2">
        <f>C99/D99</f>
        <v>4.9253801118129591E-3</v>
      </c>
      <c r="F99" s="9">
        <f t="shared" si="5"/>
        <v>0.23289093647438425</v>
      </c>
      <c r="G99" s="11">
        <f t="shared" si="6"/>
        <v>0</v>
      </c>
      <c r="H99" s="7">
        <v>1</v>
      </c>
      <c r="I99" s="11">
        <f t="shared" si="7"/>
        <v>1</v>
      </c>
      <c r="J99" s="3">
        <v>1</v>
      </c>
      <c r="K99" s="13">
        <f t="shared" si="8"/>
        <v>-0.7671090635256157</v>
      </c>
    </row>
    <row r="100" spans="1:11" x14ac:dyDescent="0.75">
      <c r="A100">
        <v>331</v>
      </c>
      <c r="B100" t="s">
        <v>229</v>
      </c>
      <c r="C100" s="6">
        <v>233247</v>
      </c>
      <c r="D100" s="1">
        <v>52234975</v>
      </c>
      <c r="E100" s="2">
        <f>C100/D100</f>
        <v>4.4653414690061588E-3</v>
      </c>
      <c r="F100" s="9">
        <f t="shared" si="5"/>
        <v>0.21113853809994809</v>
      </c>
      <c r="G100" s="11">
        <f t="shared" si="6"/>
        <v>0</v>
      </c>
      <c r="H100" s="7">
        <v>1</v>
      </c>
      <c r="I100" s="11">
        <f t="shared" si="7"/>
        <v>1</v>
      </c>
      <c r="J100" s="3">
        <v>1</v>
      </c>
      <c r="K100" s="13">
        <f t="shared" si="8"/>
        <v>-0.78886146190005191</v>
      </c>
    </row>
    <row r="101" spans="1:11" x14ac:dyDescent="0.75">
      <c r="A101">
        <v>341</v>
      </c>
      <c r="B101" t="s">
        <v>234</v>
      </c>
      <c r="C101" s="6">
        <v>157665</v>
      </c>
      <c r="D101" s="1">
        <v>37640125</v>
      </c>
      <c r="E101" s="2">
        <f>C101/D101</f>
        <v>4.1887480448059089E-3</v>
      </c>
      <c r="F101" s="9">
        <f t="shared" si="5"/>
        <v>0.1980601360025834</v>
      </c>
      <c r="G101" s="11">
        <f t="shared" si="6"/>
        <v>0</v>
      </c>
      <c r="H101" s="7">
        <v>1</v>
      </c>
      <c r="I101" s="11">
        <f t="shared" si="7"/>
        <v>1</v>
      </c>
      <c r="J101" s="3">
        <v>1</v>
      </c>
      <c r="K101" s="13">
        <f t="shared" si="8"/>
        <v>-0.80193986399741657</v>
      </c>
    </row>
    <row r="102" spans="1:11" x14ac:dyDescent="0.75">
      <c r="A102">
        <v>126</v>
      </c>
      <c r="B102" t="s">
        <v>143</v>
      </c>
      <c r="C102" s="6">
        <v>16260</v>
      </c>
      <c r="D102" s="1">
        <v>4009025</v>
      </c>
      <c r="E102" s="2">
        <f>C102/D102</f>
        <v>4.0558489907147003E-3</v>
      </c>
      <c r="F102" s="9">
        <f t="shared" si="5"/>
        <v>0.19177615700781933</v>
      </c>
      <c r="G102" s="11">
        <f t="shared" si="6"/>
        <v>0</v>
      </c>
      <c r="H102" s="7">
        <v>1</v>
      </c>
      <c r="I102" s="11">
        <f t="shared" si="7"/>
        <v>1</v>
      </c>
      <c r="J102" s="3">
        <v>1</v>
      </c>
      <c r="K102" s="13">
        <f t="shared" si="8"/>
        <v>-0.80822384299218064</v>
      </c>
    </row>
    <row r="103" spans="1:11" x14ac:dyDescent="0.75">
      <c r="A103">
        <v>58</v>
      </c>
      <c r="B103" t="s">
        <v>113</v>
      </c>
      <c r="C103" s="6">
        <v>64190</v>
      </c>
      <c r="D103" s="1">
        <v>16008525</v>
      </c>
      <c r="E103" s="2">
        <f>C103/D103</f>
        <v>4.0097385611728752E-3</v>
      </c>
      <c r="F103" s="9">
        <f t="shared" si="5"/>
        <v>0.18959587835450761</v>
      </c>
      <c r="G103" s="11">
        <f t="shared" si="6"/>
        <v>0</v>
      </c>
      <c r="H103" s="7">
        <v>1</v>
      </c>
      <c r="I103" s="11">
        <f t="shared" si="7"/>
        <v>1</v>
      </c>
      <c r="J103" s="3">
        <v>1</v>
      </c>
      <c r="K103" s="13">
        <f t="shared" si="8"/>
        <v>-0.81040412164549236</v>
      </c>
    </row>
    <row r="104" spans="1:11" x14ac:dyDescent="0.75">
      <c r="A104">
        <v>480</v>
      </c>
      <c r="B104" t="s">
        <v>283</v>
      </c>
      <c r="C104" s="5">
        <v>771</v>
      </c>
      <c r="D104" s="1">
        <v>194375</v>
      </c>
      <c r="E104" s="2">
        <f>C104/D104</f>
        <v>3.9665594855305469E-3</v>
      </c>
      <c r="F104" s="9">
        <f t="shared" si="5"/>
        <v>0.18755420540051126</v>
      </c>
      <c r="G104" s="11">
        <f t="shared" si="6"/>
        <v>0</v>
      </c>
      <c r="H104" s="7">
        <v>1</v>
      </c>
      <c r="I104" s="11">
        <f t="shared" si="7"/>
        <v>1</v>
      </c>
      <c r="J104" s="3">
        <v>1</v>
      </c>
      <c r="K104" s="13">
        <f t="shared" si="8"/>
        <v>-0.81244579459948874</v>
      </c>
    </row>
    <row r="105" spans="1:11" x14ac:dyDescent="0.75">
      <c r="A105">
        <v>217</v>
      </c>
      <c r="B105" t="s">
        <v>185</v>
      </c>
      <c r="C105" s="6">
        <v>349665</v>
      </c>
      <c r="D105" s="1">
        <v>89372075</v>
      </c>
      <c r="E105" s="2">
        <f>C105/D105</f>
        <v>3.9124637086024915E-3</v>
      </c>
      <c r="F105" s="9">
        <f t="shared" si="5"/>
        <v>0.18499634877582793</v>
      </c>
      <c r="G105" s="11">
        <f t="shared" si="6"/>
        <v>0</v>
      </c>
      <c r="H105" s="7">
        <v>1</v>
      </c>
      <c r="I105" s="11">
        <f t="shared" si="7"/>
        <v>1</v>
      </c>
      <c r="J105" s="3">
        <v>1</v>
      </c>
      <c r="K105" s="13">
        <f t="shared" si="8"/>
        <v>-0.81500365122417207</v>
      </c>
    </row>
    <row r="106" spans="1:11" x14ac:dyDescent="0.75">
      <c r="A106">
        <v>19</v>
      </c>
      <c r="B106" t="s">
        <v>90</v>
      </c>
      <c r="C106" s="6">
        <v>390080</v>
      </c>
      <c r="D106" s="1">
        <v>100907000</v>
      </c>
      <c r="E106" s="2">
        <f>C106/D106</f>
        <v>3.8657377585301317E-3</v>
      </c>
      <c r="F106" s="9">
        <f t="shared" si="5"/>
        <v>0.18278696594181928</v>
      </c>
      <c r="G106" s="11">
        <f t="shared" si="6"/>
        <v>0</v>
      </c>
      <c r="H106" s="7">
        <v>1</v>
      </c>
      <c r="I106" s="11">
        <f t="shared" si="7"/>
        <v>1</v>
      </c>
      <c r="J106" s="3">
        <v>1</v>
      </c>
      <c r="K106" s="13">
        <f t="shared" si="8"/>
        <v>-0.81721303405818069</v>
      </c>
    </row>
    <row r="107" spans="1:11" x14ac:dyDescent="0.75">
      <c r="A107">
        <v>195</v>
      </c>
      <c r="B107" t="s">
        <v>174</v>
      </c>
      <c r="C107" s="6">
        <v>35608</v>
      </c>
      <c r="D107" s="1">
        <v>9970975</v>
      </c>
      <c r="E107" s="2">
        <f>C107/D107</f>
        <v>3.5711653073044513E-3</v>
      </c>
      <c r="F107" s="9">
        <f t="shared" si="5"/>
        <v>0.16885844621986593</v>
      </c>
      <c r="G107" s="11">
        <f t="shared" si="6"/>
        <v>0</v>
      </c>
      <c r="H107" s="7">
        <v>1</v>
      </c>
      <c r="I107" s="11">
        <f t="shared" si="7"/>
        <v>1</v>
      </c>
      <c r="J107" s="3">
        <v>1</v>
      </c>
      <c r="K107" s="13">
        <f t="shared" si="8"/>
        <v>-0.8311415537801341</v>
      </c>
    </row>
    <row r="108" spans="1:11" x14ac:dyDescent="0.75">
      <c r="A108">
        <v>56</v>
      </c>
      <c r="B108" t="s">
        <v>112</v>
      </c>
      <c r="C108" s="6">
        <v>112500</v>
      </c>
      <c r="D108" s="1">
        <v>31979500</v>
      </c>
      <c r="E108" s="2">
        <f>C108/D108</f>
        <v>3.5178786410043936E-3</v>
      </c>
      <c r="F108" s="9">
        <f t="shared" si="5"/>
        <v>0.16633884746109107</v>
      </c>
      <c r="G108" s="11">
        <f t="shared" si="6"/>
        <v>0</v>
      </c>
      <c r="H108" s="7">
        <v>1</v>
      </c>
      <c r="I108" s="11">
        <f t="shared" si="7"/>
        <v>1</v>
      </c>
      <c r="J108" s="3">
        <v>1</v>
      </c>
      <c r="K108" s="13">
        <f t="shared" si="8"/>
        <v>-0.83366115253890893</v>
      </c>
    </row>
    <row r="109" spans="1:11" x14ac:dyDescent="0.75">
      <c r="A109">
        <v>305</v>
      </c>
      <c r="B109" t="s">
        <v>218</v>
      </c>
      <c r="C109" s="6">
        <v>11198</v>
      </c>
      <c r="D109" s="1">
        <v>3228825</v>
      </c>
      <c r="E109" s="2">
        <f>C109/D109</f>
        <v>3.4681346929610617E-3</v>
      </c>
      <c r="F109" s="9">
        <f t="shared" si="5"/>
        <v>0.16398676206245155</v>
      </c>
      <c r="G109" s="11">
        <f t="shared" si="6"/>
        <v>0</v>
      </c>
      <c r="H109" s="7">
        <v>1</v>
      </c>
      <c r="I109" s="11">
        <f t="shared" si="7"/>
        <v>1</v>
      </c>
      <c r="J109" s="3">
        <v>1</v>
      </c>
      <c r="K109" s="13">
        <f t="shared" si="8"/>
        <v>-0.83601323793754845</v>
      </c>
    </row>
    <row r="110" spans="1:11" x14ac:dyDescent="0.75">
      <c r="A110">
        <v>392</v>
      </c>
      <c r="B110" t="s">
        <v>253</v>
      </c>
      <c r="C110" s="6">
        <v>2447</v>
      </c>
      <c r="D110" s="1">
        <v>709600</v>
      </c>
      <c r="E110" s="2">
        <f>C110/D110</f>
        <v>3.448421645997745E-3</v>
      </c>
      <c r="F110" s="9">
        <f t="shared" si="5"/>
        <v>0.16305465329849253</v>
      </c>
      <c r="G110" s="11">
        <f t="shared" si="6"/>
        <v>0</v>
      </c>
      <c r="H110" s="7">
        <v>1</v>
      </c>
      <c r="I110" s="11">
        <f t="shared" si="7"/>
        <v>1</v>
      </c>
      <c r="J110" s="3">
        <v>1</v>
      </c>
      <c r="K110" s="13">
        <f t="shared" si="8"/>
        <v>-0.83694534670150744</v>
      </c>
    </row>
    <row r="111" spans="1:11" x14ac:dyDescent="0.75">
      <c r="A111">
        <v>153</v>
      </c>
      <c r="B111" t="s">
        <v>157</v>
      </c>
      <c r="C111" s="6">
        <v>230861</v>
      </c>
      <c r="D111" s="1">
        <v>69002625</v>
      </c>
      <c r="E111" s="2">
        <f>C111/D111</f>
        <v>3.3456843127344792E-3</v>
      </c>
      <c r="F111" s="9">
        <f t="shared" si="5"/>
        <v>0.15819683659980208</v>
      </c>
      <c r="G111" s="11">
        <f t="shared" si="6"/>
        <v>0</v>
      </c>
      <c r="H111" s="7">
        <v>1</v>
      </c>
      <c r="I111" s="11">
        <f t="shared" si="7"/>
        <v>1</v>
      </c>
      <c r="J111" s="3">
        <v>1</v>
      </c>
      <c r="K111" s="13">
        <f t="shared" si="8"/>
        <v>-0.8418031634001979</v>
      </c>
    </row>
    <row r="112" spans="1:11" x14ac:dyDescent="0.75">
      <c r="A112">
        <v>472</v>
      </c>
      <c r="B112" t="s">
        <v>281</v>
      </c>
      <c r="C112" s="6">
        <v>138894</v>
      </c>
      <c r="D112" s="1">
        <v>42670025</v>
      </c>
      <c r="E112" s="2">
        <f>C112/D112</f>
        <v>3.2550719152379219E-3</v>
      </c>
      <c r="F112" s="9">
        <f t="shared" si="5"/>
        <v>0.15391233355027098</v>
      </c>
      <c r="G112" s="11">
        <f t="shared" si="6"/>
        <v>0</v>
      </c>
      <c r="H112" s="7">
        <v>1</v>
      </c>
      <c r="I112" s="11">
        <f t="shared" si="7"/>
        <v>1</v>
      </c>
      <c r="J112" s="3">
        <v>1</v>
      </c>
      <c r="K112" s="13">
        <f t="shared" si="8"/>
        <v>-0.84608766644972899</v>
      </c>
    </row>
    <row r="113" spans="1:11" x14ac:dyDescent="0.75">
      <c r="A113">
        <v>249</v>
      </c>
      <c r="B113" t="s">
        <v>197</v>
      </c>
      <c r="C113" s="6">
        <v>2921</v>
      </c>
      <c r="D113" s="1">
        <v>900450</v>
      </c>
      <c r="E113" s="2">
        <f>C113/D113</f>
        <v>3.2439335887611749E-3</v>
      </c>
      <c r="F113" s="9">
        <f t="shared" si="5"/>
        <v>0.15338567058720229</v>
      </c>
      <c r="G113" s="11">
        <f t="shared" si="6"/>
        <v>0</v>
      </c>
      <c r="H113" s="7">
        <v>1</v>
      </c>
      <c r="I113" s="11">
        <f t="shared" si="7"/>
        <v>1</v>
      </c>
      <c r="J113" s="3">
        <v>1</v>
      </c>
      <c r="K113" s="13">
        <f t="shared" si="8"/>
        <v>-0.84661432941279768</v>
      </c>
    </row>
    <row r="114" spans="1:11" x14ac:dyDescent="0.75">
      <c r="A114">
        <v>378</v>
      </c>
      <c r="B114" t="s">
        <v>248</v>
      </c>
      <c r="C114" s="6">
        <v>12942</v>
      </c>
      <c r="D114" s="1">
        <v>4055650</v>
      </c>
      <c r="E114" s="2">
        <f>C114/D114</f>
        <v>3.1911037688163424E-3</v>
      </c>
      <c r="F114" s="9">
        <f t="shared" si="5"/>
        <v>0.15088767328315331</v>
      </c>
      <c r="G114" s="11">
        <f t="shared" si="6"/>
        <v>0</v>
      </c>
      <c r="H114" s="7">
        <v>1</v>
      </c>
      <c r="I114" s="11">
        <f t="shared" si="7"/>
        <v>1</v>
      </c>
      <c r="J114" s="3">
        <v>1</v>
      </c>
      <c r="K114" s="13">
        <f t="shared" si="8"/>
        <v>-0.84911232671684667</v>
      </c>
    </row>
    <row r="115" spans="1:11" x14ac:dyDescent="0.75">
      <c r="A115">
        <v>76</v>
      </c>
      <c r="B115" t="s">
        <v>119</v>
      </c>
      <c r="C115" s="6">
        <v>48024</v>
      </c>
      <c r="D115" s="1">
        <v>15372275</v>
      </c>
      <c r="E115" s="2">
        <f>C115/D115</f>
        <v>3.1240658913531017E-3</v>
      </c>
      <c r="F115" s="9">
        <f t="shared" si="5"/>
        <v>0.14771786431262854</v>
      </c>
      <c r="G115" s="11">
        <f t="shared" si="6"/>
        <v>0</v>
      </c>
      <c r="H115" s="7">
        <v>1</v>
      </c>
      <c r="I115" s="11">
        <f t="shared" si="7"/>
        <v>1</v>
      </c>
      <c r="J115" s="3">
        <v>1</v>
      </c>
      <c r="K115" s="13">
        <f t="shared" si="8"/>
        <v>-0.85228213568737143</v>
      </c>
    </row>
    <row r="116" spans="1:11" x14ac:dyDescent="0.75">
      <c r="A116">
        <v>4</v>
      </c>
      <c r="B116" t="s">
        <v>80</v>
      </c>
      <c r="C116" s="6">
        <v>27167</v>
      </c>
      <c r="D116" s="1">
        <v>8745175</v>
      </c>
      <c r="E116" s="2">
        <f>C116/D116</f>
        <v>3.106513020036763E-3</v>
      </c>
      <c r="F116" s="9">
        <f t="shared" si="5"/>
        <v>0.14688789697084467</v>
      </c>
      <c r="G116" s="11">
        <f t="shared" si="6"/>
        <v>0</v>
      </c>
      <c r="H116" s="7">
        <v>1</v>
      </c>
      <c r="I116" s="11">
        <f t="shared" si="7"/>
        <v>1</v>
      </c>
      <c r="J116" s="3">
        <v>1</v>
      </c>
      <c r="K116" s="13">
        <f t="shared" si="8"/>
        <v>-0.8531121030291553</v>
      </c>
    </row>
    <row r="117" spans="1:11" x14ac:dyDescent="0.75">
      <c r="A117">
        <v>549</v>
      </c>
      <c r="B117" t="s">
        <v>295</v>
      </c>
      <c r="C117" s="6">
        <v>40026</v>
      </c>
      <c r="D117" s="1">
        <v>13011500</v>
      </c>
      <c r="E117" s="2">
        <f>C117/D117</f>
        <v>3.0762018214656266E-3</v>
      </c>
      <c r="F117" s="9">
        <f t="shared" si="5"/>
        <v>0.14545466679152058</v>
      </c>
      <c r="G117" s="11">
        <f t="shared" si="6"/>
        <v>0</v>
      </c>
      <c r="H117" s="7">
        <v>1</v>
      </c>
      <c r="I117" s="11">
        <f t="shared" si="7"/>
        <v>1</v>
      </c>
      <c r="J117" s="3">
        <v>1</v>
      </c>
      <c r="K117" s="13">
        <f t="shared" si="8"/>
        <v>-0.85454533320847936</v>
      </c>
    </row>
    <row r="118" spans="1:11" x14ac:dyDescent="0.75">
      <c r="A118">
        <v>63</v>
      </c>
      <c r="B118" t="s">
        <v>116</v>
      </c>
      <c r="C118" s="6">
        <v>1522</v>
      </c>
      <c r="D118" s="1">
        <v>498200</v>
      </c>
      <c r="E118" s="2">
        <f>C118/D118</f>
        <v>3.0549979927739866E-3</v>
      </c>
      <c r="F118" s="9">
        <f t="shared" si="5"/>
        <v>0.1444520681273089</v>
      </c>
      <c r="G118" s="11">
        <f t="shared" si="6"/>
        <v>0</v>
      </c>
      <c r="H118" s="7">
        <v>1</v>
      </c>
      <c r="I118" s="11">
        <f t="shared" si="7"/>
        <v>1</v>
      </c>
      <c r="J118" s="3">
        <v>1</v>
      </c>
      <c r="K118" s="13">
        <f t="shared" si="8"/>
        <v>-0.85554793187269107</v>
      </c>
    </row>
    <row r="119" spans="1:11" x14ac:dyDescent="0.75">
      <c r="A119">
        <v>86</v>
      </c>
      <c r="B119" t="s">
        <v>126</v>
      </c>
      <c r="C119" s="6">
        <v>8343</v>
      </c>
      <c r="D119" s="1">
        <v>2868300</v>
      </c>
      <c r="E119" s="2">
        <f>C119/D119</f>
        <v>2.9086915594603076E-3</v>
      </c>
      <c r="F119" s="9">
        <f t="shared" si="5"/>
        <v>0.13753413661884958</v>
      </c>
      <c r="G119" s="11">
        <f t="shared" si="6"/>
        <v>0</v>
      </c>
      <c r="H119" s="7">
        <v>1</v>
      </c>
      <c r="I119" s="11">
        <f t="shared" si="7"/>
        <v>1</v>
      </c>
      <c r="J119" s="3">
        <v>1</v>
      </c>
      <c r="K119" s="13">
        <f t="shared" si="8"/>
        <v>-0.86246586338115039</v>
      </c>
    </row>
    <row r="120" spans="1:11" x14ac:dyDescent="0.75">
      <c r="A120">
        <v>30</v>
      </c>
      <c r="B120" t="s">
        <v>93</v>
      </c>
      <c r="C120" s="6">
        <v>44107</v>
      </c>
      <c r="D120" s="1">
        <v>17265550</v>
      </c>
      <c r="E120" s="2">
        <f>C120/D120</f>
        <v>2.5546246716727818E-3</v>
      </c>
      <c r="F120" s="9">
        <f t="shared" si="5"/>
        <v>0.12079249085761397</v>
      </c>
      <c r="G120" s="11">
        <f t="shared" si="6"/>
        <v>0</v>
      </c>
      <c r="H120" s="7">
        <v>1</v>
      </c>
      <c r="I120" s="11">
        <f t="shared" si="7"/>
        <v>1</v>
      </c>
      <c r="J120" s="3">
        <v>1</v>
      </c>
      <c r="K120" s="13">
        <f t="shared" si="8"/>
        <v>-0.87920750914238599</v>
      </c>
    </row>
    <row r="121" spans="1:11" x14ac:dyDescent="0.75">
      <c r="A121">
        <v>399</v>
      </c>
      <c r="B121" t="s">
        <v>257</v>
      </c>
      <c r="C121" s="6">
        <v>4667</v>
      </c>
      <c r="D121" s="1">
        <v>1866725</v>
      </c>
      <c r="E121" s="2">
        <f>C121/D121</f>
        <v>2.5001004432897186E-3</v>
      </c>
      <c r="F121" s="9">
        <f t="shared" si="5"/>
        <v>0.11821437539841935</v>
      </c>
      <c r="G121" s="11">
        <f t="shared" si="6"/>
        <v>0</v>
      </c>
      <c r="H121" s="7">
        <v>1</v>
      </c>
      <c r="I121" s="11">
        <f t="shared" si="7"/>
        <v>1</v>
      </c>
      <c r="J121" s="3">
        <v>1</v>
      </c>
      <c r="K121" s="13">
        <f t="shared" si="8"/>
        <v>-0.88178562460158061</v>
      </c>
    </row>
    <row r="122" spans="1:11" x14ac:dyDescent="0.75">
      <c r="A122">
        <v>187</v>
      </c>
      <c r="B122" t="s">
        <v>172</v>
      </c>
      <c r="C122" s="6">
        <v>12129</v>
      </c>
      <c r="D122" s="1">
        <v>4862150</v>
      </c>
      <c r="E122" s="2">
        <f>C122/D122</f>
        <v>2.4945754450191788E-3</v>
      </c>
      <c r="F122" s="9">
        <f t="shared" si="5"/>
        <v>0.11795313220661789</v>
      </c>
      <c r="G122" s="11">
        <f t="shared" si="6"/>
        <v>0</v>
      </c>
      <c r="H122" s="7">
        <v>1</v>
      </c>
      <c r="I122" s="11">
        <f t="shared" si="7"/>
        <v>1</v>
      </c>
      <c r="J122" s="3">
        <v>1</v>
      </c>
      <c r="K122" s="13">
        <f t="shared" si="8"/>
        <v>-0.88204686779338215</v>
      </c>
    </row>
    <row r="123" spans="1:11" x14ac:dyDescent="0.75">
      <c r="A123">
        <v>44</v>
      </c>
      <c r="B123" t="s">
        <v>103</v>
      </c>
      <c r="C123" s="6">
        <v>5700</v>
      </c>
      <c r="D123" s="1">
        <v>2315725</v>
      </c>
      <c r="E123" s="2">
        <f>C123/D123</f>
        <v>2.4614321648727721E-3</v>
      </c>
      <c r="F123" s="9">
        <f t="shared" si="5"/>
        <v>0.11638599030570818</v>
      </c>
      <c r="G123" s="11">
        <f t="shared" si="6"/>
        <v>0</v>
      </c>
      <c r="H123" s="7">
        <v>1</v>
      </c>
      <c r="I123" s="11">
        <f t="shared" si="7"/>
        <v>1</v>
      </c>
      <c r="J123" s="3">
        <v>1</v>
      </c>
      <c r="K123" s="13">
        <f t="shared" si="8"/>
        <v>-0.88361400969429182</v>
      </c>
    </row>
    <row r="124" spans="1:11" x14ac:dyDescent="0.75">
      <c r="A124">
        <v>35</v>
      </c>
      <c r="B124" t="s">
        <v>96</v>
      </c>
      <c r="C124" s="6">
        <v>5427</v>
      </c>
      <c r="D124" s="1">
        <v>2239725</v>
      </c>
      <c r="E124" s="2">
        <f>C124/D124</f>
        <v>2.423065331681345E-3</v>
      </c>
      <c r="F124" s="9">
        <f t="shared" si="5"/>
        <v>0.11457185870395063</v>
      </c>
      <c r="G124" s="11">
        <f t="shared" si="6"/>
        <v>0</v>
      </c>
      <c r="H124" s="7">
        <v>1</v>
      </c>
      <c r="I124" s="11">
        <f t="shared" si="7"/>
        <v>1</v>
      </c>
      <c r="J124" s="3">
        <v>1</v>
      </c>
      <c r="K124" s="13">
        <f t="shared" si="8"/>
        <v>-0.88542814129604941</v>
      </c>
    </row>
    <row r="125" spans="1:11" x14ac:dyDescent="0.75">
      <c r="A125">
        <v>337</v>
      </c>
      <c r="B125" t="s">
        <v>231</v>
      </c>
      <c r="C125" s="6">
        <v>19625</v>
      </c>
      <c r="D125" s="1">
        <v>8180450</v>
      </c>
      <c r="E125" s="2">
        <f>C125/D125</f>
        <v>2.3990122792755899E-3</v>
      </c>
      <c r="F125" s="9">
        <f t="shared" si="5"/>
        <v>0.11343453777182426</v>
      </c>
      <c r="G125" s="11">
        <f t="shared" si="6"/>
        <v>0</v>
      </c>
      <c r="H125" s="7">
        <v>1</v>
      </c>
      <c r="I125" s="11">
        <f t="shared" si="7"/>
        <v>1</v>
      </c>
      <c r="J125" s="3">
        <v>1</v>
      </c>
      <c r="K125" s="13">
        <f t="shared" si="8"/>
        <v>-0.88656546222817578</v>
      </c>
    </row>
    <row r="126" spans="1:11" x14ac:dyDescent="0.75">
      <c r="A126">
        <v>227</v>
      </c>
      <c r="B126" t="s">
        <v>190</v>
      </c>
      <c r="C126" s="6">
        <v>26441</v>
      </c>
      <c r="D126" s="1">
        <v>11550850</v>
      </c>
      <c r="E126" s="2">
        <f>C126/D126</f>
        <v>2.2890956076825515E-3</v>
      </c>
      <c r="F126" s="9">
        <f t="shared" si="5"/>
        <v>0.10823725431342585</v>
      </c>
      <c r="G126" s="11">
        <f t="shared" si="6"/>
        <v>0</v>
      </c>
      <c r="H126" s="7">
        <v>1</v>
      </c>
      <c r="I126" s="11">
        <f t="shared" si="7"/>
        <v>1</v>
      </c>
      <c r="J126" s="3">
        <v>1</v>
      </c>
      <c r="K126" s="13">
        <f t="shared" si="8"/>
        <v>-0.89176274568657421</v>
      </c>
    </row>
    <row r="127" spans="1:11" x14ac:dyDescent="0.75">
      <c r="A127">
        <v>81</v>
      </c>
      <c r="B127" t="s">
        <v>123</v>
      </c>
      <c r="C127" s="6">
        <v>4838</v>
      </c>
      <c r="D127" s="1">
        <v>2194375</v>
      </c>
      <c r="E127" s="2">
        <f>C127/D127</f>
        <v>2.2047279977214468E-3</v>
      </c>
      <c r="F127" s="9">
        <f t="shared" si="5"/>
        <v>0.10424802886363312</v>
      </c>
      <c r="G127" s="11">
        <f t="shared" si="6"/>
        <v>0</v>
      </c>
      <c r="H127" s="7">
        <v>1</v>
      </c>
      <c r="I127" s="11">
        <f t="shared" si="7"/>
        <v>1</v>
      </c>
      <c r="J127" s="3">
        <v>1</v>
      </c>
      <c r="K127" s="13">
        <f t="shared" si="8"/>
        <v>-0.89575197113636684</v>
      </c>
    </row>
    <row r="128" spans="1:11" x14ac:dyDescent="0.75">
      <c r="E128" s="2">
        <f>SUM(E2:E127)</f>
        <v>13.323788024629559</v>
      </c>
      <c r="F128" s="8">
        <f>SUM(F2:F127)</f>
        <v>630.00000000000023</v>
      </c>
      <c r="G128" s="10">
        <f>SUM(G2:G127)</f>
        <v>626</v>
      </c>
      <c r="H128" s="8">
        <f>SUM(H2:H127)</f>
        <v>630</v>
      </c>
      <c r="I128" s="10">
        <f>SUM(I2:I127)</f>
        <v>629</v>
      </c>
      <c r="J128" s="10">
        <f>SUM(J2:J127)</f>
        <v>630</v>
      </c>
    </row>
    <row r="129" spans="5:5" x14ac:dyDescent="0.75">
      <c r="E129" s="2">
        <f>SUM(E2:E62)</f>
        <v>12.797109477001515</v>
      </c>
    </row>
  </sheetData>
  <sortState xmlns:xlrd2="http://schemas.microsoft.com/office/spreadsheetml/2017/richdata2" ref="A2:F619">
    <sortCondition descending="1" ref="E2:E61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9C151-555B-4A30-ACDB-BE955EFB4968}">
  <dimension ref="A2:E178"/>
  <sheetViews>
    <sheetView workbookViewId="0">
      <selection activeCell="B30" sqref="B30"/>
    </sheetView>
  </sheetViews>
  <sheetFormatPr defaultRowHeight="14.75" x14ac:dyDescent="0.75"/>
  <cols>
    <col min="1" max="1" width="3.7265625" bestFit="1" customWidth="1"/>
    <col min="2" max="2" width="105.7265625" bestFit="1" customWidth="1"/>
    <col min="3" max="3" width="7.1796875" bestFit="1" customWidth="1"/>
    <col min="4" max="4" width="10.6796875" bestFit="1" customWidth="1"/>
    <col min="5" max="5" width="5.76953125" bestFit="1" customWidth="1"/>
  </cols>
  <sheetData>
    <row r="2" spans="1:5" x14ac:dyDescent="0.75">
      <c r="A2">
        <v>84</v>
      </c>
      <c r="B2" t="s">
        <v>125</v>
      </c>
      <c r="C2" s="6">
        <v>247479</v>
      </c>
      <c r="D2" s="1">
        <v>113670025</v>
      </c>
      <c r="E2" s="2">
        <f>C2/D2</f>
        <v>2.1771702786200671E-3</v>
      </c>
    </row>
    <row r="3" spans="1:5" x14ac:dyDescent="0.75">
      <c r="A3">
        <v>375</v>
      </c>
      <c r="B3" t="s">
        <v>247</v>
      </c>
      <c r="C3" s="6">
        <v>1391</v>
      </c>
      <c r="D3" s="1">
        <v>639875</v>
      </c>
      <c r="E3" s="2">
        <f>C3/D3</f>
        <v>2.1738620824379761E-3</v>
      </c>
    </row>
    <row r="4" spans="1:5" x14ac:dyDescent="0.75">
      <c r="A4">
        <v>164</v>
      </c>
      <c r="B4" t="s">
        <v>163</v>
      </c>
      <c r="C4" s="6">
        <v>4815</v>
      </c>
      <c r="D4" s="1">
        <v>2320050</v>
      </c>
      <c r="E4" s="2">
        <f>C4/D4</f>
        <v>2.0753863063296052E-3</v>
      </c>
    </row>
    <row r="5" spans="1:5" x14ac:dyDescent="0.75">
      <c r="A5">
        <v>200</v>
      </c>
      <c r="B5" t="s">
        <v>177</v>
      </c>
      <c r="C5" s="5">
        <v>86</v>
      </c>
      <c r="D5" s="1">
        <v>52250</v>
      </c>
      <c r="E5" s="2">
        <f>C5/D5</f>
        <v>1.645933014354067E-3</v>
      </c>
    </row>
    <row r="6" spans="1:5" x14ac:dyDescent="0.75">
      <c r="A6">
        <v>460</v>
      </c>
      <c r="B6" t="s">
        <v>274</v>
      </c>
      <c r="C6" s="6">
        <v>4376</v>
      </c>
      <c r="D6" s="1">
        <v>2677100</v>
      </c>
      <c r="E6" s="2">
        <f>C6/D6</f>
        <v>1.6346046094654664E-3</v>
      </c>
    </row>
    <row r="7" spans="1:5" x14ac:dyDescent="0.75">
      <c r="A7">
        <v>226</v>
      </c>
      <c r="B7" t="s">
        <v>189</v>
      </c>
      <c r="C7" s="6">
        <v>29269</v>
      </c>
      <c r="D7" s="1">
        <v>18347725</v>
      </c>
      <c r="E7" s="2">
        <f>C7/D7</f>
        <v>1.5952386467532078E-3</v>
      </c>
    </row>
    <row r="8" spans="1:5" x14ac:dyDescent="0.75">
      <c r="A8">
        <v>295</v>
      </c>
      <c r="B8" t="s">
        <v>214</v>
      </c>
      <c r="C8" s="6">
        <v>3313</v>
      </c>
      <c r="D8" s="1">
        <v>2080650</v>
      </c>
      <c r="E8" s="2">
        <f>C8/D8</f>
        <v>1.5922908706413861E-3</v>
      </c>
    </row>
    <row r="9" spans="1:5" x14ac:dyDescent="0.75">
      <c r="A9">
        <v>37</v>
      </c>
      <c r="B9" t="s">
        <v>97</v>
      </c>
      <c r="C9" s="6">
        <v>4685</v>
      </c>
      <c r="D9" s="1">
        <v>3161150</v>
      </c>
      <c r="E9" s="2">
        <f>C9/D9</f>
        <v>1.4820555810385462E-3</v>
      </c>
    </row>
    <row r="10" spans="1:5" x14ac:dyDescent="0.75">
      <c r="A10">
        <v>134</v>
      </c>
      <c r="B10" t="s">
        <v>147</v>
      </c>
      <c r="C10" s="6">
        <v>97343</v>
      </c>
      <c r="D10" s="1">
        <v>66525550</v>
      </c>
      <c r="E10" s="2">
        <f>C10/D10</f>
        <v>1.4632423181770013E-3</v>
      </c>
    </row>
    <row r="11" spans="1:5" x14ac:dyDescent="0.75">
      <c r="A11">
        <v>162</v>
      </c>
      <c r="B11" t="s">
        <v>162</v>
      </c>
      <c r="C11" s="5">
        <v>654</v>
      </c>
      <c r="D11" s="1">
        <v>474300</v>
      </c>
      <c r="E11" s="2">
        <f>C11/D11</f>
        <v>1.3788741302972801E-3</v>
      </c>
    </row>
    <row r="12" spans="1:5" x14ac:dyDescent="0.75">
      <c r="A12">
        <v>257</v>
      </c>
      <c r="B12" t="s">
        <v>200</v>
      </c>
      <c r="C12" s="6">
        <v>9822</v>
      </c>
      <c r="D12" s="1">
        <v>7317425</v>
      </c>
      <c r="E12" s="2">
        <f>C12/D12</f>
        <v>1.3422754589216836E-3</v>
      </c>
    </row>
    <row r="13" spans="1:5" x14ac:dyDescent="0.75">
      <c r="A13">
        <v>395</v>
      </c>
      <c r="B13" t="s">
        <v>255</v>
      </c>
      <c r="C13" s="6">
        <v>10783</v>
      </c>
      <c r="D13" s="1">
        <v>8493675</v>
      </c>
      <c r="E13" s="2">
        <f>C13/D13</f>
        <v>1.2695329171412844E-3</v>
      </c>
    </row>
    <row r="14" spans="1:5" x14ac:dyDescent="0.75">
      <c r="A14">
        <v>237</v>
      </c>
      <c r="B14" t="s">
        <v>193</v>
      </c>
      <c r="C14" s="6">
        <v>18466</v>
      </c>
      <c r="D14" s="1">
        <v>15246825</v>
      </c>
      <c r="E14" s="2">
        <f>C14/D14</f>
        <v>1.2111374007375305E-3</v>
      </c>
    </row>
    <row r="15" spans="1:5" x14ac:dyDescent="0.75">
      <c r="A15">
        <v>77</v>
      </c>
      <c r="B15" t="s">
        <v>120</v>
      </c>
      <c r="C15" s="6">
        <v>185142</v>
      </c>
      <c r="D15" s="1">
        <v>165975075</v>
      </c>
      <c r="E15" s="2">
        <f>C15/D15</f>
        <v>1.1154807431176036E-3</v>
      </c>
    </row>
    <row r="16" spans="1:5" x14ac:dyDescent="0.75">
      <c r="A16">
        <v>40</v>
      </c>
      <c r="B16" t="s">
        <v>99</v>
      </c>
      <c r="C16" s="6">
        <v>20522</v>
      </c>
      <c r="D16" s="1">
        <v>18513875</v>
      </c>
      <c r="E16" s="2">
        <f>C16/D16</f>
        <v>1.1084659478364199E-3</v>
      </c>
    </row>
    <row r="17" spans="1:5" x14ac:dyDescent="0.75">
      <c r="A17">
        <v>493</v>
      </c>
      <c r="B17" t="s">
        <v>287</v>
      </c>
      <c r="C17" s="6">
        <v>3785</v>
      </c>
      <c r="D17" s="1">
        <v>3624450</v>
      </c>
      <c r="E17" s="2">
        <f>C17/D17</f>
        <v>1.0442963760018762E-3</v>
      </c>
    </row>
    <row r="18" spans="1:5" x14ac:dyDescent="0.75">
      <c r="A18">
        <v>53</v>
      </c>
      <c r="B18" t="s">
        <v>109</v>
      </c>
      <c r="C18" s="6">
        <v>6836</v>
      </c>
      <c r="D18" s="1">
        <v>6635575</v>
      </c>
      <c r="E18" s="2">
        <f>C18/D18</f>
        <v>1.0302046167815148E-3</v>
      </c>
    </row>
    <row r="19" spans="1:5" x14ac:dyDescent="0.75">
      <c r="A19">
        <v>118</v>
      </c>
      <c r="B19" t="s">
        <v>140</v>
      </c>
      <c r="C19" s="6">
        <v>48686</v>
      </c>
      <c r="D19" s="1">
        <v>49880900</v>
      </c>
      <c r="E19" s="2">
        <f>C19/D19</f>
        <v>9.7604493904480472E-4</v>
      </c>
    </row>
    <row r="20" spans="1:5" x14ac:dyDescent="0.75">
      <c r="A20">
        <v>368</v>
      </c>
      <c r="B20" t="s">
        <v>242</v>
      </c>
      <c r="C20" s="6">
        <v>1399</v>
      </c>
      <c r="D20" s="1">
        <v>1543425</v>
      </c>
      <c r="E20" s="2">
        <f>C20/D20</f>
        <v>9.0642564426518947E-4</v>
      </c>
    </row>
    <row r="21" spans="1:5" x14ac:dyDescent="0.75">
      <c r="A21">
        <v>171</v>
      </c>
      <c r="B21" t="s">
        <v>166</v>
      </c>
      <c r="C21" s="6">
        <v>1964</v>
      </c>
      <c r="D21" s="1">
        <v>2258675</v>
      </c>
      <c r="E21" s="2">
        <f>C21/D21</f>
        <v>8.6953634321006786E-4</v>
      </c>
    </row>
    <row r="22" spans="1:5" x14ac:dyDescent="0.75">
      <c r="A22">
        <v>98</v>
      </c>
      <c r="B22" t="s">
        <v>131</v>
      </c>
      <c r="C22" s="5">
        <v>149</v>
      </c>
      <c r="D22" s="1">
        <v>184625</v>
      </c>
      <c r="E22" s="2">
        <f>C22/D22</f>
        <v>8.0704129993229524E-4</v>
      </c>
    </row>
    <row r="23" spans="1:5" x14ac:dyDescent="0.75">
      <c r="A23">
        <v>490</v>
      </c>
      <c r="B23" t="s">
        <v>285</v>
      </c>
      <c r="C23" s="6">
        <v>2416</v>
      </c>
      <c r="D23" s="1">
        <v>3114550</v>
      </c>
      <c r="E23" s="2">
        <f>C23/D23</f>
        <v>7.7571398757444901E-4</v>
      </c>
    </row>
    <row r="24" spans="1:5" x14ac:dyDescent="0.75">
      <c r="A24">
        <v>181</v>
      </c>
      <c r="B24" t="s">
        <v>170</v>
      </c>
      <c r="C24" s="6">
        <v>67152</v>
      </c>
      <c r="D24" s="1">
        <v>90564175</v>
      </c>
      <c r="E24" s="2">
        <f>C24/D24</f>
        <v>7.4148525065236893E-4</v>
      </c>
    </row>
    <row r="25" spans="1:5" x14ac:dyDescent="0.75">
      <c r="A25">
        <v>174</v>
      </c>
      <c r="B25" t="s">
        <v>168</v>
      </c>
      <c r="C25" s="6">
        <v>14145</v>
      </c>
      <c r="D25" s="1">
        <v>19388250</v>
      </c>
      <c r="E25" s="2">
        <f>C25/D25</f>
        <v>7.2956558740474252E-4</v>
      </c>
    </row>
    <row r="26" spans="1:5" x14ac:dyDescent="0.75">
      <c r="A26">
        <v>369</v>
      </c>
      <c r="B26" t="s">
        <v>243</v>
      </c>
      <c r="C26" s="6">
        <v>2048</v>
      </c>
      <c r="D26" s="1">
        <v>2810700</v>
      </c>
      <c r="E26" s="2">
        <f>C26/D26</f>
        <v>7.2864411000818298E-4</v>
      </c>
    </row>
    <row r="27" spans="1:5" x14ac:dyDescent="0.75">
      <c r="A27">
        <v>7</v>
      </c>
      <c r="B27" t="s">
        <v>82</v>
      </c>
      <c r="C27" s="6">
        <v>3013</v>
      </c>
      <c r="D27" s="1">
        <v>4225725</v>
      </c>
      <c r="E27" s="2">
        <f>C27/D27</f>
        <v>7.1301374320382896E-4</v>
      </c>
    </row>
    <row r="28" spans="1:5" x14ac:dyDescent="0.75">
      <c r="A28">
        <v>370</v>
      </c>
      <c r="B28" t="s">
        <v>244</v>
      </c>
      <c r="C28" s="6">
        <v>13736</v>
      </c>
      <c r="D28" s="1">
        <v>19725800</v>
      </c>
      <c r="E28" s="2">
        <f>C28/D28</f>
        <v>6.9634691622139533E-4</v>
      </c>
    </row>
    <row r="29" spans="1:5" x14ac:dyDescent="0.75">
      <c r="A29">
        <v>336</v>
      </c>
      <c r="B29" t="s">
        <v>230</v>
      </c>
      <c r="C29" s="6">
        <v>6221</v>
      </c>
      <c r="D29" s="1">
        <v>8987750</v>
      </c>
      <c r="E29" s="2">
        <f>C29/D29</f>
        <v>6.9216433478901834E-4</v>
      </c>
    </row>
    <row r="30" spans="1:5" x14ac:dyDescent="0.75">
      <c r="A30">
        <v>41</v>
      </c>
      <c r="B30" t="s">
        <v>100</v>
      </c>
      <c r="C30" s="6">
        <v>38725</v>
      </c>
      <c r="D30" s="1">
        <v>56189850</v>
      </c>
      <c r="E30" s="2">
        <f>C30/D30</f>
        <v>6.8918140909790646E-4</v>
      </c>
    </row>
    <row r="31" spans="1:5" x14ac:dyDescent="0.75">
      <c r="A31">
        <v>62</v>
      </c>
      <c r="B31" t="s">
        <v>115</v>
      </c>
      <c r="C31" s="5">
        <v>800</v>
      </c>
      <c r="D31" s="1">
        <v>1174300</v>
      </c>
      <c r="E31" s="2">
        <f>C31/D31</f>
        <v>6.8125691901558378E-4</v>
      </c>
    </row>
    <row r="32" spans="1:5" x14ac:dyDescent="0.75">
      <c r="A32">
        <v>578</v>
      </c>
      <c r="B32" t="s">
        <v>302</v>
      </c>
      <c r="C32" s="6">
        <v>96640</v>
      </c>
      <c r="D32" s="1">
        <v>152655000</v>
      </c>
      <c r="E32" s="2">
        <f>C32/D32</f>
        <v>6.3306147849726511E-4</v>
      </c>
    </row>
    <row r="33" spans="1:5" x14ac:dyDescent="0.75">
      <c r="A33">
        <v>25</v>
      </c>
      <c r="B33" t="s">
        <v>92</v>
      </c>
      <c r="C33" s="6">
        <v>18742</v>
      </c>
      <c r="D33" s="1">
        <v>31552575</v>
      </c>
      <c r="E33" s="2">
        <f>C33/D33</f>
        <v>5.9399272484099951E-4</v>
      </c>
    </row>
    <row r="34" spans="1:5" x14ac:dyDescent="0.75">
      <c r="A34">
        <v>148</v>
      </c>
      <c r="B34" t="s">
        <v>155</v>
      </c>
      <c r="C34" s="6">
        <v>1942</v>
      </c>
      <c r="D34" s="1">
        <v>3377975</v>
      </c>
      <c r="E34" s="2">
        <f>C34/D34</f>
        <v>5.749006431367905E-4</v>
      </c>
    </row>
    <row r="35" spans="1:5" x14ac:dyDescent="0.75">
      <c r="A35">
        <v>207</v>
      </c>
      <c r="B35" t="s">
        <v>181</v>
      </c>
      <c r="C35" s="6">
        <v>11417</v>
      </c>
      <c r="D35" s="1">
        <v>19904175</v>
      </c>
      <c r="E35" s="2">
        <f>C35/D35</f>
        <v>5.7359825262790344E-4</v>
      </c>
    </row>
    <row r="36" spans="1:5" x14ac:dyDescent="0.75">
      <c r="A36">
        <v>442</v>
      </c>
      <c r="B36" t="s">
        <v>268</v>
      </c>
      <c r="C36" s="6">
        <v>3029</v>
      </c>
      <c r="D36" s="1">
        <v>5607350</v>
      </c>
      <c r="E36" s="2">
        <f>C36/D36</f>
        <v>5.4018386581896976E-4</v>
      </c>
    </row>
    <row r="37" spans="1:5" x14ac:dyDescent="0.75">
      <c r="A37">
        <v>342</v>
      </c>
      <c r="B37" t="s">
        <v>235</v>
      </c>
      <c r="C37" s="6">
        <v>76460</v>
      </c>
      <c r="D37" s="1">
        <v>145563825</v>
      </c>
      <c r="E37" s="2">
        <f>C37/D37</f>
        <v>5.252678678923146E-4</v>
      </c>
    </row>
    <row r="38" spans="1:5" x14ac:dyDescent="0.75">
      <c r="A38">
        <v>61</v>
      </c>
      <c r="B38" t="s">
        <v>114</v>
      </c>
      <c r="C38" s="6">
        <v>1379</v>
      </c>
      <c r="D38" s="1">
        <v>2627300</v>
      </c>
      <c r="E38" s="2">
        <f>C38/D38</f>
        <v>5.2487344422030217E-4</v>
      </c>
    </row>
    <row r="39" spans="1:5" x14ac:dyDescent="0.75">
      <c r="A39">
        <v>32</v>
      </c>
      <c r="B39" t="s">
        <v>94</v>
      </c>
      <c r="C39" s="6">
        <v>11344</v>
      </c>
      <c r="D39" s="1">
        <v>23590375</v>
      </c>
      <c r="E39" s="2">
        <f>C39/D39</f>
        <v>4.8087408529961904E-4</v>
      </c>
    </row>
    <row r="40" spans="1:5" x14ac:dyDescent="0.75">
      <c r="A40">
        <v>78</v>
      </c>
      <c r="B40" t="s">
        <v>121</v>
      </c>
      <c r="C40" s="6">
        <v>1343</v>
      </c>
      <c r="D40" s="1">
        <v>2841375</v>
      </c>
      <c r="E40" s="2">
        <f>C40/D40</f>
        <v>4.7265848400862261E-4</v>
      </c>
    </row>
    <row r="41" spans="1:5" x14ac:dyDescent="0.75">
      <c r="A41">
        <v>350</v>
      </c>
      <c r="B41" t="s">
        <v>236</v>
      </c>
      <c r="C41" s="6">
        <v>2833</v>
      </c>
      <c r="D41" s="1">
        <v>6120700</v>
      </c>
      <c r="E41" s="2">
        <f>C41/D41</f>
        <v>4.6285555573708892E-4</v>
      </c>
    </row>
    <row r="42" spans="1:5" x14ac:dyDescent="0.75">
      <c r="A42">
        <v>280</v>
      </c>
      <c r="B42" t="s">
        <v>207</v>
      </c>
      <c r="C42" s="6">
        <v>2927</v>
      </c>
      <c r="D42" s="1">
        <v>6596650</v>
      </c>
      <c r="E42" s="2">
        <f>C42/D42</f>
        <v>4.4371006495721316E-4</v>
      </c>
    </row>
    <row r="43" spans="1:5" x14ac:dyDescent="0.75">
      <c r="A43">
        <v>302</v>
      </c>
      <c r="B43" t="s">
        <v>216</v>
      </c>
      <c r="C43" s="5">
        <v>86</v>
      </c>
      <c r="D43" s="1">
        <v>201075</v>
      </c>
      <c r="E43" s="2">
        <f>C43/D43</f>
        <v>4.2770110655228149E-4</v>
      </c>
    </row>
    <row r="44" spans="1:5" x14ac:dyDescent="0.75">
      <c r="A44">
        <v>188</v>
      </c>
      <c r="B44" t="s">
        <v>173</v>
      </c>
      <c r="C44" s="6">
        <v>12469</v>
      </c>
      <c r="D44" s="1">
        <v>30136000</v>
      </c>
      <c r="E44" s="2">
        <f>C44/D44</f>
        <v>4.1375763206795858E-4</v>
      </c>
    </row>
    <row r="45" spans="1:5" x14ac:dyDescent="0.75">
      <c r="A45">
        <v>563</v>
      </c>
      <c r="B45" t="s">
        <v>299</v>
      </c>
      <c r="C45" s="5">
        <v>276</v>
      </c>
      <c r="D45" s="1">
        <v>768425</v>
      </c>
      <c r="E45" s="2">
        <f>C45/D45</f>
        <v>3.5917623710837103E-4</v>
      </c>
    </row>
    <row r="46" spans="1:5" x14ac:dyDescent="0.75">
      <c r="A46">
        <v>132</v>
      </c>
      <c r="B46" t="s">
        <v>146</v>
      </c>
      <c r="C46" s="5">
        <v>6</v>
      </c>
      <c r="D46" s="1">
        <v>16850</v>
      </c>
      <c r="E46" s="2">
        <f>C46/D46</f>
        <v>3.5608308605341248E-4</v>
      </c>
    </row>
    <row r="47" spans="1:5" x14ac:dyDescent="0.75">
      <c r="A47">
        <v>104</v>
      </c>
      <c r="B47" t="s">
        <v>135</v>
      </c>
      <c r="C47" s="6">
        <v>1654</v>
      </c>
      <c r="D47" s="1">
        <v>4775950</v>
      </c>
      <c r="E47" s="2">
        <f>C47/D47</f>
        <v>3.4631853348548455E-4</v>
      </c>
    </row>
    <row r="48" spans="1:5" x14ac:dyDescent="0.75">
      <c r="A48">
        <v>18</v>
      </c>
      <c r="B48" t="s">
        <v>89</v>
      </c>
      <c r="C48" s="6">
        <v>10919</v>
      </c>
      <c r="D48" s="1">
        <v>31794025</v>
      </c>
      <c r="E48" s="2">
        <f>C48/D48</f>
        <v>3.4342930786523566E-4</v>
      </c>
    </row>
    <row r="49" spans="1:5" x14ac:dyDescent="0.75">
      <c r="A49">
        <v>143</v>
      </c>
      <c r="B49" t="s">
        <v>153</v>
      </c>
      <c r="C49" s="6">
        <v>7175</v>
      </c>
      <c r="D49" s="1">
        <v>20980375</v>
      </c>
      <c r="E49" s="2">
        <f>C49/D49</f>
        <v>3.419862609700732E-4</v>
      </c>
    </row>
    <row r="50" spans="1:5" x14ac:dyDescent="0.75">
      <c r="A50">
        <v>516</v>
      </c>
      <c r="B50" t="s">
        <v>291</v>
      </c>
      <c r="C50" s="5">
        <v>227</v>
      </c>
      <c r="D50" s="1">
        <v>682650</v>
      </c>
      <c r="E50" s="2">
        <f>C50/D50</f>
        <v>3.3252764960082034E-4</v>
      </c>
    </row>
    <row r="51" spans="1:5" x14ac:dyDescent="0.75">
      <c r="A51">
        <v>514</v>
      </c>
      <c r="B51" t="s">
        <v>290</v>
      </c>
      <c r="C51" s="6">
        <v>1466</v>
      </c>
      <c r="D51" s="1">
        <v>4541400</v>
      </c>
      <c r="E51" s="2">
        <f>C51/D51</f>
        <v>3.2280794468666048E-4</v>
      </c>
    </row>
    <row r="52" spans="1:5" x14ac:dyDescent="0.75">
      <c r="A52">
        <v>330</v>
      </c>
      <c r="B52" t="s">
        <v>228</v>
      </c>
      <c r="C52" s="6">
        <v>20342</v>
      </c>
      <c r="D52" s="1">
        <v>63798175</v>
      </c>
      <c r="E52" s="2">
        <f>C52/D52</f>
        <v>3.1884924607953127E-4</v>
      </c>
    </row>
    <row r="53" spans="1:5" x14ac:dyDescent="0.75">
      <c r="A53">
        <v>393</v>
      </c>
      <c r="B53" t="s">
        <v>254</v>
      </c>
      <c r="C53" s="6">
        <v>8273</v>
      </c>
      <c r="D53" s="1">
        <v>29539750</v>
      </c>
      <c r="E53" s="2">
        <f>C53/D53</f>
        <v>2.8006330453033622E-4</v>
      </c>
    </row>
    <row r="54" spans="1:5" x14ac:dyDescent="0.75">
      <c r="A54">
        <v>241</v>
      </c>
      <c r="B54" t="s">
        <v>195</v>
      </c>
      <c r="C54" s="6">
        <v>142612</v>
      </c>
      <c r="D54" s="1">
        <v>515709425</v>
      </c>
      <c r="E54" s="2">
        <f>C54/D54</f>
        <v>2.7653557039412262E-4</v>
      </c>
    </row>
    <row r="55" spans="1:5" x14ac:dyDescent="0.75">
      <c r="A55">
        <v>158</v>
      </c>
      <c r="B55" t="s">
        <v>160</v>
      </c>
      <c r="C55" s="5">
        <v>148</v>
      </c>
      <c r="D55" s="1">
        <v>544925</v>
      </c>
      <c r="E55" s="2">
        <f>C55/D55</f>
        <v>2.7159700876267374E-4</v>
      </c>
    </row>
    <row r="56" spans="1:5" x14ac:dyDescent="0.75">
      <c r="A56">
        <v>412</v>
      </c>
      <c r="B56" t="s">
        <v>258</v>
      </c>
      <c r="C56" s="6">
        <v>24375</v>
      </c>
      <c r="D56" s="1">
        <v>93492525</v>
      </c>
      <c r="E56" s="2">
        <f>C56/D56</f>
        <v>2.6071603050618219E-4</v>
      </c>
    </row>
    <row r="57" spans="1:5" x14ac:dyDescent="0.75">
      <c r="A57">
        <v>225</v>
      </c>
      <c r="B57" t="s">
        <v>188</v>
      </c>
      <c r="C57" s="5">
        <v>130</v>
      </c>
      <c r="D57" s="1">
        <v>533250</v>
      </c>
      <c r="E57" s="2">
        <f>C57/D57</f>
        <v>2.4378809188935771E-4</v>
      </c>
    </row>
    <row r="58" spans="1:5" x14ac:dyDescent="0.75">
      <c r="A58">
        <v>245</v>
      </c>
      <c r="B58" t="s">
        <v>196</v>
      </c>
      <c r="C58" s="5">
        <v>882</v>
      </c>
      <c r="D58" s="1">
        <v>4205900</v>
      </c>
      <c r="E58" s="2">
        <f>C58/D58</f>
        <v>2.0970541382343851E-4</v>
      </c>
    </row>
    <row r="59" spans="1:5" x14ac:dyDescent="0.75">
      <c r="A59">
        <v>439</v>
      </c>
      <c r="B59" t="s">
        <v>266</v>
      </c>
      <c r="C59" s="5">
        <v>34</v>
      </c>
      <c r="D59" s="1">
        <v>175025</v>
      </c>
      <c r="E59" s="2">
        <f>C59/D59</f>
        <v>1.942579631481217E-4</v>
      </c>
    </row>
    <row r="60" spans="1:5" x14ac:dyDescent="0.75">
      <c r="A60">
        <v>291</v>
      </c>
      <c r="B60" t="s">
        <v>212</v>
      </c>
      <c r="C60" s="6">
        <v>1481</v>
      </c>
      <c r="D60" s="1">
        <v>8439350</v>
      </c>
      <c r="E60" s="2">
        <f>C60/D60</f>
        <v>1.7548744867791952E-4</v>
      </c>
    </row>
    <row r="61" spans="1:5" x14ac:dyDescent="0.75">
      <c r="A61">
        <v>443</v>
      </c>
      <c r="B61" t="s">
        <v>269</v>
      </c>
      <c r="C61" s="6">
        <v>1143</v>
      </c>
      <c r="D61" s="1">
        <v>6555925</v>
      </c>
      <c r="E61" s="2">
        <f>C61/D61</f>
        <v>1.7434610676601701E-4</v>
      </c>
    </row>
    <row r="62" spans="1:5" x14ac:dyDescent="0.75">
      <c r="A62">
        <v>300</v>
      </c>
      <c r="B62" t="s">
        <v>215</v>
      </c>
      <c r="C62" s="5">
        <v>71</v>
      </c>
      <c r="D62" s="1">
        <v>417375</v>
      </c>
      <c r="E62" s="2">
        <f>C62/D62</f>
        <v>1.7011081162024558E-4</v>
      </c>
    </row>
    <row r="63" spans="1:5" x14ac:dyDescent="0.75">
      <c r="A63">
        <v>307</v>
      </c>
      <c r="B63" t="s">
        <v>220</v>
      </c>
      <c r="C63" s="5">
        <v>780</v>
      </c>
      <c r="D63" s="1">
        <v>4586150</v>
      </c>
      <c r="E63" s="2">
        <f>C63/D63</f>
        <v>1.7007729795144076E-4</v>
      </c>
    </row>
    <row r="64" spans="1:5" x14ac:dyDescent="0.75">
      <c r="A64">
        <v>255</v>
      </c>
      <c r="B64" t="s">
        <v>199</v>
      </c>
      <c r="C64" s="6">
        <v>18117</v>
      </c>
      <c r="D64" s="1">
        <v>106526025</v>
      </c>
      <c r="E64" s="2">
        <f>C64/D64</f>
        <v>1.7007111642436672E-4</v>
      </c>
    </row>
    <row r="65" spans="1:5" x14ac:dyDescent="0.75">
      <c r="A65">
        <v>202</v>
      </c>
      <c r="B65" t="s">
        <v>178</v>
      </c>
      <c r="C65" s="6">
        <v>2415</v>
      </c>
      <c r="D65" s="1">
        <v>14378925</v>
      </c>
      <c r="E65" s="2">
        <f>C65/D65</f>
        <v>1.6795414121709376E-4</v>
      </c>
    </row>
    <row r="66" spans="1:5" x14ac:dyDescent="0.75">
      <c r="A66">
        <v>319</v>
      </c>
      <c r="B66" t="s">
        <v>223</v>
      </c>
      <c r="C66" s="6">
        <v>74644</v>
      </c>
      <c r="D66" s="1">
        <v>455903375</v>
      </c>
      <c r="E66" s="2">
        <f>C66/D66</f>
        <v>1.6372767584797986E-4</v>
      </c>
    </row>
    <row r="67" spans="1:5" x14ac:dyDescent="0.75">
      <c r="A67">
        <v>156</v>
      </c>
      <c r="B67" t="s">
        <v>159</v>
      </c>
      <c r="C67" s="6">
        <v>7280</v>
      </c>
      <c r="D67" s="1">
        <v>46371550</v>
      </c>
      <c r="E67" s="2">
        <f>C67/D67</f>
        <v>1.5699281132504735E-4</v>
      </c>
    </row>
    <row r="68" spans="1:5" x14ac:dyDescent="0.75">
      <c r="A68">
        <v>13</v>
      </c>
      <c r="B68" t="s">
        <v>87</v>
      </c>
      <c r="C68" s="6">
        <v>1086</v>
      </c>
      <c r="D68" s="1">
        <v>7246475</v>
      </c>
      <c r="E68" s="2">
        <f>C68/D68</f>
        <v>1.4986596931611577E-4</v>
      </c>
    </row>
    <row r="69" spans="1:5" x14ac:dyDescent="0.75">
      <c r="A69">
        <v>338</v>
      </c>
      <c r="B69" t="s">
        <v>232</v>
      </c>
      <c r="C69" s="6">
        <v>9012</v>
      </c>
      <c r="D69" s="1">
        <v>62595450</v>
      </c>
      <c r="E69" s="2">
        <f>C69/D69</f>
        <v>1.4397212576952478E-4</v>
      </c>
    </row>
    <row r="70" spans="1:5" x14ac:dyDescent="0.75">
      <c r="A70">
        <v>418</v>
      </c>
      <c r="B70" t="s">
        <v>261</v>
      </c>
      <c r="C70" s="5">
        <v>315</v>
      </c>
      <c r="D70" s="1">
        <v>2222250</v>
      </c>
      <c r="E70" s="2">
        <f>C70/D70</f>
        <v>1.4174822814714817E-4</v>
      </c>
    </row>
    <row r="71" spans="1:5" x14ac:dyDescent="0.75">
      <c r="A71">
        <v>328</v>
      </c>
      <c r="B71" t="s">
        <v>227</v>
      </c>
      <c r="C71" s="5">
        <v>365</v>
      </c>
      <c r="D71" s="1">
        <v>2656000</v>
      </c>
      <c r="E71" s="2">
        <f>C71/D71</f>
        <v>1.3742469879518071E-4</v>
      </c>
    </row>
    <row r="72" spans="1:5" x14ac:dyDescent="0.75">
      <c r="A72">
        <v>276</v>
      </c>
      <c r="B72" t="s">
        <v>206</v>
      </c>
      <c r="C72" s="6">
        <v>34975</v>
      </c>
      <c r="D72" s="1">
        <v>285380750</v>
      </c>
      <c r="E72" s="2">
        <f>C72/D72</f>
        <v>1.2255556830655185E-4</v>
      </c>
    </row>
    <row r="73" spans="1:5" x14ac:dyDescent="0.75">
      <c r="A73">
        <v>140</v>
      </c>
      <c r="B73" t="s">
        <v>151</v>
      </c>
      <c r="C73" s="5">
        <v>129</v>
      </c>
      <c r="D73" s="1">
        <v>1061375</v>
      </c>
      <c r="E73" s="2">
        <f>C73/D73</f>
        <v>1.2154045459898716E-4</v>
      </c>
    </row>
    <row r="74" spans="1:5" x14ac:dyDescent="0.75">
      <c r="A74">
        <v>10</v>
      </c>
      <c r="B74" t="s">
        <v>84</v>
      </c>
      <c r="C74" s="5">
        <v>34</v>
      </c>
      <c r="D74" s="1">
        <v>285425</v>
      </c>
      <c r="E74" s="2">
        <f>C74/D74</f>
        <v>1.1912060961723745E-4</v>
      </c>
    </row>
    <row r="75" spans="1:5" x14ac:dyDescent="0.75">
      <c r="A75">
        <v>138</v>
      </c>
      <c r="B75" t="s">
        <v>150</v>
      </c>
      <c r="C75" s="5">
        <v>690</v>
      </c>
      <c r="D75" s="1">
        <v>5855250</v>
      </c>
      <c r="E75" s="2">
        <f>C75/D75</f>
        <v>1.1784296144485717E-4</v>
      </c>
    </row>
    <row r="76" spans="1:5" x14ac:dyDescent="0.75">
      <c r="A76">
        <v>204</v>
      </c>
      <c r="B76" t="s">
        <v>179</v>
      </c>
      <c r="C76" s="5">
        <v>416</v>
      </c>
      <c r="D76" s="1">
        <v>3587525</v>
      </c>
      <c r="E76" s="2">
        <f>C76/D76</f>
        <v>1.1595738008794364E-4</v>
      </c>
    </row>
    <row r="77" spans="1:5" x14ac:dyDescent="0.75">
      <c r="A77">
        <v>266</v>
      </c>
      <c r="B77" t="s">
        <v>201</v>
      </c>
      <c r="C77" s="6">
        <v>7969</v>
      </c>
      <c r="D77" s="1">
        <v>70762775</v>
      </c>
      <c r="E77" s="2">
        <f>C77/D77</f>
        <v>1.1261570790574564E-4</v>
      </c>
    </row>
    <row r="78" spans="1:5" x14ac:dyDescent="0.75">
      <c r="A78">
        <v>159</v>
      </c>
      <c r="B78" t="s">
        <v>161</v>
      </c>
      <c r="C78" s="6">
        <v>1218</v>
      </c>
      <c r="D78" s="1">
        <v>10850375</v>
      </c>
      <c r="E78" s="2">
        <f>C78/D78</f>
        <v>1.1225418476319942E-4</v>
      </c>
    </row>
    <row r="79" spans="1:5" x14ac:dyDescent="0.75">
      <c r="A79">
        <v>588</v>
      </c>
      <c r="B79" t="s">
        <v>304</v>
      </c>
      <c r="C79" s="5">
        <v>45</v>
      </c>
      <c r="D79" s="1">
        <v>403100</v>
      </c>
      <c r="E79" s="2">
        <f>C79/D79</f>
        <v>1.116348300669809E-4</v>
      </c>
    </row>
    <row r="80" spans="1:5" x14ac:dyDescent="0.75">
      <c r="A80">
        <v>318</v>
      </c>
      <c r="B80" t="s">
        <v>222</v>
      </c>
      <c r="C80" s="5">
        <v>107</v>
      </c>
      <c r="D80" s="1">
        <v>970150</v>
      </c>
      <c r="E80" s="2">
        <f>C80/D80</f>
        <v>1.1029222285213626E-4</v>
      </c>
    </row>
    <row r="81" spans="1:5" x14ac:dyDescent="0.75">
      <c r="A81">
        <v>559</v>
      </c>
      <c r="B81" t="s">
        <v>298</v>
      </c>
      <c r="C81" s="5">
        <v>45</v>
      </c>
      <c r="D81" s="1">
        <v>420025</v>
      </c>
      <c r="E81" s="2">
        <f>C81/D81</f>
        <v>1.0713647997143028E-4</v>
      </c>
    </row>
    <row r="82" spans="1:5" x14ac:dyDescent="0.75">
      <c r="A82">
        <v>292</v>
      </c>
      <c r="B82" t="s">
        <v>213</v>
      </c>
      <c r="C82" s="5">
        <v>100</v>
      </c>
      <c r="D82" s="1">
        <v>990000</v>
      </c>
      <c r="E82" s="2">
        <f>C82/D82</f>
        <v>1.0101010101010101E-4</v>
      </c>
    </row>
    <row r="83" spans="1:5" x14ac:dyDescent="0.75">
      <c r="A83">
        <v>270</v>
      </c>
      <c r="B83" t="s">
        <v>203</v>
      </c>
      <c r="C83" s="5">
        <v>822</v>
      </c>
      <c r="D83" s="1">
        <v>8632375</v>
      </c>
      <c r="E83" s="2">
        <f>C83/D83</f>
        <v>9.522292532472234E-5</v>
      </c>
    </row>
    <row r="84" spans="1:5" x14ac:dyDescent="0.75">
      <c r="A84">
        <v>101</v>
      </c>
      <c r="B84" t="s">
        <v>133</v>
      </c>
      <c r="C84" s="6">
        <v>6776</v>
      </c>
      <c r="D84" s="1">
        <v>76271375</v>
      </c>
      <c r="E84" s="2">
        <f>C84/D84</f>
        <v>8.8840669255012123E-5</v>
      </c>
    </row>
    <row r="85" spans="1:5" x14ac:dyDescent="0.75">
      <c r="A85">
        <v>39</v>
      </c>
      <c r="B85" t="s">
        <v>98</v>
      </c>
      <c r="C85" s="5">
        <v>314</v>
      </c>
      <c r="D85" s="1">
        <v>3546625</v>
      </c>
      <c r="E85" s="2">
        <f>C85/D85</f>
        <v>8.8534874704825013E-5</v>
      </c>
    </row>
    <row r="86" spans="1:5" x14ac:dyDescent="0.75">
      <c r="A86">
        <v>430</v>
      </c>
      <c r="B86" t="s">
        <v>263</v>
      </c>
      <c r="C86" s="5">
        <v>73</v>
      </c>
      <c r="D86" s="1">
        <v>832875</v>
      </c>
      <c r="E86" s="2">
        <f>C86/D86</f>
        <v>8.7648206513582465E-5</v>
      </c>
    </row>
    <row r="87" spans="1:5" x14ac:dyDescent="0.75">
      <c r="A87">
        <v>136</v>
      </c>
      <c r="B87" t="s">
        <v>149</v>
      </c>
      <c r="C87" s="5">
        <v>795</v>
      </c>
      <c r="D87" s="1">
        <v>9195250</v>
      </c>
      <c r="E87" s="2">
        <f>C87/D87</f>
        <v>8.6457681955357381E-5</v>
      </c>
    </row>
    <row r="88" spans="1:5" x14ac:dyDescent="0.75">
      <c r="A88">
        <v>284</v>
      </c>
      <c r="B88" t="s">
        <v>208</v>
      </c>
      <c r="C88" s="5">
        <v>50</v>
      </c>
      <c r="D88" s="1">
        <v>600825</v>
      </c>
      <c r="E88" s="2">
        <f>C88/D88</f>
        <v>8.3218907335746685E-5</v>
      </c>
    </row>
    <row r="89" spans="1:5" x14ac:dyDescent="0.75">
      <c r="A89">
        <v>17</v>
      </c>
      <c r="B89" t="s">
        <v>88</v>
      </c>
      <c r="C89" s="5">
        <v>302</v>
      </c>
      <c r="D89" s="1">
        <v>3633650</v>
      </c>
      <c r="E89" s="2">
        <f>C89/D89</f>
        <v>8.3112022346676213E-5</v>
      </c>
    </row>
    <row r="90" spans="1:5" x14ac:dyDescent="0.75">
      <c r="A90">
        <v>541</v>
      </c>
      <c r="B90" t="s">
        <v>294</v>
      </c>
      <c r="C90" s="5">
        <v>84</v>
      </c>
      <c r="D90" s="1">
        <v>1015825</v>
      </c>
      <c r="E90" s="2">
        <f>C90/D90</f>
        <v>8.2691408461103047E-5</v>
      </c>
    </row>
    <row r="91" spans="1:5" x14ac:dyDescent="0.75">
      <c r="A91">
        <v>557</v>
      </c>
      <c r="B91" t="s">
        <v>297</v>
      </c>
      <c r="C91" s="5">
        <v>7</v>
      </c>
      <c r="D91" s="1">
        <v>86150</v>
      </c>
      <c r="E91" s="2">
        <f>C91/D91</f>
        <v>8.1253627394080091E-5</v>
      </c>
    </row>
    <row r="92" spans="1:5" x14ac:dyDescent="0.75">
      <c r="A92">
        <v>99</v>
      </c>
      <c r="B92" t="s">
        <v>132</v>
      </c>
      <c r="C92" s="5">
        <v>97</v>
      </c>
      <c r="D92" s="1">
        <v>1227375</v>
      </c>
      <c r="E92" s="2">
        <f>C92/D92</f>
        <v>7.903045116610653E-5</v>
      </c>
    </row>
    <row r="93" spans="1:5" x14ac:dyDescent="0.75">
      <c r="A93">
        <v>115</v>
      </c>
      <c r="B93" t="s">
        <v>139</v>
      </c>
      <c r="C93" s="6">
        <v>3287</v>
      </c>
      <c r="D93" s="1">
        <v>41664875</v>
      </c>
      <c r="E93" s="2">
        <f>C93/D93</f>
        <v>7.8891392329870184E-5</v>
      </c>
    </row>
    <row r="94" spans="1:5" x14ac:dyDescent="0.75">
      <c r="A94">
        <v>218</v>
      </c>
      <c r="B94" t="s">
        <v>186</v>
      </c>
      <c r="C94" s="6">
        <v>1369</v>
      </c>
      <c r="D94" s="1">
        <v>17742050</v>
      </c>
      <c r="E94" s="2">
        <f>C94/D94</f>
        <v>7.7161320140570007E-5</v>
      </c>
    </row>
    <row r="95" spans="1:5" x14ac:dyDescent="0.75">
      <c r="A95">
        <v>468</v>
      </c>
      <c r="B95" t="s">
        <v>279</v>
      </c>
      <c r="C95" s="5">
        <v>423</v>
      </c>
      <c r="D95" s="1">
        <v>5719175</v>
      </c>
      <c r="E95" s="2">
        <f>C95/D95</f>
        <v>7.3961716506314287E-5</v>
      </c>
    </row>
    <row r="96" spans="1:5" x14ac:dyDescent="0.75">
      <c r="A96">
        <v>365</v>
      </c>
      <c r="B96" t="s">
        <v>240</v>
      </c>
      <c r="C96" s="5">
        <v>30</v>
      </c>
      <c r="D96" s="1">
        <v>413225</v>
      </c>
      <c r="E96" s="2">
        <f>C96/D96</f>
        <v>7.2599673301470147E-5</v>
      </c>
    </row>
    <row r="97" spans="1:5" x14ac:dyDescent="0.75">
      <c r="A97">
        <v>55</v>
      </c>
      <c r="B97" t="s">
        <v>111</v>
      </c>
      <c r="C97" s="5">
        <v>402</v>
      </c>
      <c r="D97" s="1">
        <v>6031200</v>
      </c>
      <c r="E97" s="2">
        <f>C97/D97</f>
        <v>6.6653402307998412E-5</v>
      </c>
    </row>
    <row r="98" spans="1:5" x14ac:dyDescent="0.75">
      <c r="A98">
        <v>112</v>
      </c>
      <c r="B98" t="s">
        <v>137</v>
      </c>
      <c r="C98" s="6">
        <v>2040</v>
      </c>
      <c r="D98" s="1">
        <v>32542400</v>
      </c>
      <c r="E98" s="2">
        <f>C98/D98</f>
        <v>6.2687447760460197E-5</v>
      </c>
    </row>
    <row r="99" spans="1:5" x14ac:dyDescent="0.75">
      <c r="A99">
        <v>205</v>
      </c>
      <c r="B99" t="s">
        <v>180</v>
      </c>
      <c r="C99" s="5">
        <v>348</v>
      </c>
      <c r="D99" s="1">
        <v>5721050</v>
      </c>
      <c r="E99" s="2">
        <f>C99/D99</f>
        <v>6.0827994861083196E-5</v>
      </c>
    </row>
    <row r="100" spans="1:5" x14ac:dyDescent="0.75">
      <c r="A100">
        <v>566</v>
      </c>
      <c r="B100" t="s">
        <v>300</v>
      </c>
      <c r="C100" s="6">
        <v>2671</v>
      </c>
      <c r="D100" s="1">
        <v>44328750</v>
      </c>
      <c r="E100" s="2">
        <f>C100/D100</f>
        <v>6.0254349603812421E-5</v>
      </c>
    </row>
    <row r="101" spans="1:5" x14ac:dyDescent="0.75">
      <c r="A101">
        <v>306</v>
      </c>
      <c r="B101" t="s">
        <v>219</v>
      </c>
      <c r="C101" s="5">
        <v>791</v>
      </c>
      <c r="D101" s="1">
        <v>15558625</v>
      </c>
      <c r="E101" s="2">
        <f>C101/D101</f>
        <v>5.083996818484924E-5</v>
      </c>
    </row>
    <row r="102" spans="1:5" x14ac:dyDescent="0.75">
      <c r="A102">
        <v>155</v>
      </c>
      <c r="B102" t="s">
        <v>158</v>
      </c>
      <c r="C102" s="5">
        <v>307</v>
      </c>
      <c r="D102" s="1">
        <v>6121925</v>
      </c>
      <c r="E102" s="2">
        <f>C102/D102</f>
        <v>5.0147625134251072E-5</v>
      </c>
    </row>
    <row r="103" spans="1:5" x14ac:dyDescent="0.75">
      <c r="A103">
        <v>273</v>
      </c>
      <c r="B103" t="s">
        <v>204</v>
      </c>
      <c r="C103" s="5">
        <v>74</v>
      </c>
      <c r="D103" s="1">
        <v>1493050</v>
      </c>
      <c r="E103" s="2">
        <f>C103/D103</f>
        <v>4.9562975118046948E-5</v>
      </c>
    </row>
    <row r="104" spans="1:5" x14ac:dyDescent="0.75">
      <c r="A104">
        <v>121</v>
      </c>
      <c r="B104" t="s">
        <v>141</v>
      </c>
      <c r="C104" s="6">
        <v>1747</v>
      </c>
      <c r="D104" s="1">
        <v>39515050</v>
      </c>
      <c r="E104" s="2">
        <f>C104/D104</f>
        <v>4.4211003149432938E-5</v>
      </c>
    </row>
    <row r="105" spans="1:5" x14ac:dyDescent="0.75">
      <c r="A105">
        <v>233</v>
      </c>
      <c r="B105" t="s">
        <v>191</v>
      </c>
      <c r="C105" s="6">
        <v>8772</v>
      </c>
      <c r="D105" s="1">
        <v>217082075</v>
      </c>
      <c r="E105" s="2">
        <f>C105/D105</f>
        <v>4.0408679528238343E-5</v>
      </c>
    </row>
    <row r="106" spans="1:5" x14ac:dyDescent="0.75">
      <c r="A106">
        <v>364</v>
      </c>
      <c r="B106" t="s">
        <v>239</v>
      </c>
      <c r="C106" s="5">
        <v>267</v>
      </c>
      <c r="D106" s="1">
        <v>6979850</v>
      </c>
      <c r="E106" s="2">
        <f>C106/D106</f>
        <v>3.825297105238651E-5</v>
      </c>
    </row>
    <row r="107" spans="1:5" x14ac:dyDescent="0.75">
      <c r="A107">
        <v>8</v>
      </c>
      <c r="B107" t="s">
        <v>83</v>
      </c>
      <c r="C107" s="5">
        <v>63</v>
      </c>
      <c r="D107" s="1">
        <v>1671275</v>
      </c>
      <c r="E107" s="2">
        <f>C107/D107</f>
        <v>3.7695771192652318E-5</v>
      </c>
    </row>
    <row r="108" spans="1:5" x14ac:dyDescent="0.75">
      <c r="A108">
        <v>51</v>
      </c>
      <c r="B108" t="s">
        <v>108</v>
      </c>
      <c r="C108" s="6">
        <v>1539</v>
      </c>
      <c r="D108" s="1">
        <v>41537925</v>
      </c>
      <c r="E108" s="2">
        <f>C108/D108</f>
        <v>3.7050478568681509E-5</v>
      </c>
    </row>
    <row r="109" spans="1:5" x14ac:dyDescent="0.75">
      <c r="A109">
        <v>96</v>
      </c>
      <c r="B109" t="s">
        <v>129</v>
      </c>
      <c r="C109" s="5">
        <v>290</v>
      </c>
      <c r="D109" s="1">
        <v>8102100</v>
      </c>
      <c r="E109" s="2">
        <f>C109/D109</f>
        <v>3.5793189420026906E-5</v>
      </c>
    </row>
    <row r="110" spans="1:5" x14ac:dyDescent="0.75">
      <c r="A110">
        <v>469</v>
      </c>
      <c r="B110" t="s">
        <v>280</v>
      </c>
      <c r="C110" s="6">
        <v>1015</v>
      </c>
      <c r="D110" s="1">
        <v>29472275</v>
      </c>
      <c r="E110" s="2">
        <f>C110/D110</f>
        <v>3.4439146621697849E-5</v>
      </c>
    </row>
    <row r="111" spans="1:5" x14ac:dyDescent="0.75">
      <c r="A111">
        <v>366</v>
      </c>
      <c r="B111" t="s">
        <v>241</v>
      </c>
      <c r="C111" s="5">
        <v>31</v>
      </c>
      <c r="D111" s="1">
        <v>928100</v>
      </c>
      <c r="E111" s="2">
        <f>C111/D111</f>
        <v>3.3401573106346296E-5</v>
      </c>
    </row>
    <row r="112" spans="1:5" x14ac:dyDescent="0.75">
      <c r="A112">
        <v>441</v>
      </c>
      <c r="B112" t="s">
        <v>267</v>
      </c>
      <c r="C112" s="5">
        <v>208</v>
      </c>
      <c r="D112" s="1">
        <v>6547125</v>
      </c>
      <c r="E112" s="2">
        <f>C112/D112</f>
        <v>3.1769669893273767E-5</v>
      </c>
    </row>
    <row r="113" spans="1:5" x14ac:dyDescent="0.75">
      <c r="A113">
        <v>449</v>
      </c>
      <c r="B113" t="s">
        <v>270</v>
      </c>
      <c r="C113" s="5">
        <v>280</v>
      </c>
      <c r="D113" s="1">
        <v>9158825</v>
      </c>
      <c r="E113" s="2">
        <f>C113/D113</f>
        <v>3.057160716576635E-5</v>
      </c>
    </row>
    <row r="114" spans="1:5" x14ac:dyDescent="0.75">
      <c r="A114">
        <v>413</v>
      </c>
      <c r="B114" t="s">
        <v>259</v>
      </c>
      <c r="C114" s="5">
        <v>32</v>
      </c>
      <c r="D114" s="1">
        <v>1067625</v>
      </c>
      <c r="E114" s="2">
        <f>C114/D114</f>
        <v>2.9973071068961479E-5</v>
      </c>
    </row>
    <row r="115" spans="1:5" x14ac:dyDescent="0.75">
      <c r="A115">
        <v>457</v>
      </c>
      <c r="B115" t="s">
        <v>273</v>
      </c>
      <c r="C115" s="5">
        <v>132</v>
      </c>
      <c r="D115" s="1">
        <v>4487325</v>
      </c>
      <c r="E115" s="2">
        <f>C115/D115</f>
        <v>2.9416188932158913E-5</v>
      </c>
    </row>
    <row r="116" spans="1:5" x14ac:dyDescent="0.75">
      <c r="A116">
        <v>453</v>
      </c>
      <c r="B116" t="s">
        <v>272</v>
      </c>
      <c r="C116" s="5">
        <v>24</v>
      </c>
      <c r="D116" s="1">
        <v>834125</v>
      </c>
      <c r="E116" s="2">
        <f>C116/D116</f>
        <v>2.8772665967331037E-5</v>
      </c>
    </row>
    <row r="117" spans="1:5" x14ac:dyDescent="0.75">
      <c r="A117">
        <v>398</v>
      </c>
      <c r="B117" t="s">
        <v>256</v>
      </c>
      <c r="C117" s="5">
        <v>118</v>
      </c>
      <c r="D117" s="1">
        <v>4407500</v>
      </c>
      <c r="E117" s="2">
        <f>C117/D117</f>
        <v>2.6772546795235396E-5</v>
      </c>
    </row>
    <row r="118" spans="1:5" x14ac:dyDescent="0.75">
      <c r="A118">
        <v>359</v>
      </c>
      <c r="B118" t="s">
        <v>238</v>
      </c>
      <c r="C118" s="5">
        <v>119</v>
      </c>
      <c r="D118" s="1">
        <v>4753375</v>
      </c>
      <c r="E118" s="2">
        <f>C118/D118</f>
        <v>2.5034843663712626E-5</v>
      </c>
    </row>
    <row r="119" spans="1:5" x14ac:dyDescent="0.75">
      <c r="A119">
        <v>554</v>
      </c>
      <c r="B119" t="s">
        <v>296</v>
      </c>
      <c r="C119" s="5">
        <v>336</v>
      </c>
      <c r="D119" s="1">
        <v>13870750</v>
      </c>
      <c r="E119" s="2">
        <f>C119/D119</f>
        <v>2.4223636068705731E-5</v>
      </c>
    </row>
    <row r="120" spans="1:5" x14ac:dyDescent="0.75">
      <c r="A120">
        <v>212</v>
      </c>
      <c r="B120" t="s">
        <v>184</v>
      </c>
      <c r="C120" s="5">
        <v>5</v>
      </c>
      <c r="D120" s="1">
        <v>206650</v>
      </c>
      <c r="E120" s="2">
        <f>C120/D120</f>
        <v>2.4195499637067506E-5</v>
      </c>
    </row>
    <row r="121" spans="1:5" x14ac:dyDescent="0.75">
      <c r="A121">
        <v>114</v>
      </c>
      <c r="B121" t="s">
        <v>138</v>
      </c>
      <c r="C121" s="5">
        <v>282</v>
      </c>
      <c r="D121" s="1">
        <v>11705200</v>
      </c>
      <c r="E121" s="2">
        <f>C121/D121</f>
        <v>2.409185661073711E-5</v>
      </c>
    </row>
    <row r="122" spans="1:5" x14ac:dyDescent="0.75">
      <c r="A122">
        <v>389</v>
      </c>
      <c r="B122" t="s">
        <v>251</v>
      </c>
      <c r="C122" s="5">
        <v>112</v>
      </c>
      <c r="D122" s="1">
        <v>4941150</v>
      </c>
      <c r="E122" s="2">
        <f>C122/D122</f>
        <v>2.266678809588861E-5</v>
      </c>
    </row>
    <row r="123" spans="1:5" x14ac:dyDescent="0.75">
      <c r="A123">
        <v>274</v>
      </c>
      <c r="B123" t="s">
        <v>205</v>
      </c>
      <c r="C123" s="5">
        <v>10</v>
      </c>
      <c r="D123" s="1">
        <v>453750</v>
      </c>
      <c r="E123" s="2">
        <f>C123/D123</f>
        <v>2.2038567493112948E-5</v>
      </c>
    </row>
    <row r="124" spans="1:5" x14ac:dyDescent="0.75">
      <c r="A124">
        <v>379</v>
      </c>
      <c r="B124" t="s">
        <v>249</v>
      </c>
      <c r="C124" s="5">
        <v>15</v>
      </c>
      <c r="D124" s="1">
        <v>695375</v>
      </c>
      <c r="E124" s="2">
        <f>C124/D124</f>
        <v>2.1571094733057703E-5</v>
      </c>
    </row>
    <row r="125" spans="1:5" x14ac:dyDescent="0.75">
      <c r="A125">
        <v>103</v>
      </c>
      <c r="B125" t="s">
        <v>134</v>
      </c>
      <c r="C125" s="5">
        <v>143</v>
      </c>
      <c r="D125" s="1">
        <v>6739500</v>
      </c>
      <c r="E125" s="2">
        <f>C125/D125</f>
        <v>2.1218191260479265E-5</v>
      </c>
    </row>
    <row r="126" spans="1:5" x14ac:dyDescent="0.75">
      <c r="A126">
        <v>286</v>
      </c>
      <c r="B126" t="s">
        <v>209</v>
      </c>
      <c r="C126" s="5">
        <v>925</v>
      </c>
      <c r="D126" s="1">
        <v>43608825</v>
      </c>
      <c r="E126" s="2">
        <f>C126/D126</f>
        <v>2.1211302987411379E-5</v>
      </c>
    </row>
    <row r="127" spans="1:5" x14ac:dyDescent="0.75">
      <c r="A127">
        <v>434</v>
      </c>
      <c r="B127" t="s">
        <v>264</v>
      </c>
      <c r="C127" s="5">
        <v>884</v>
      </c>
      <c r="D127" s="1">
        <v>42125575</v>
      </c>
      <c r="E127" s="2">
        <f>C127/D127</f>
        <v>2.0984876764293425E-5</v>
      </c>
    </row>
    <row r="128" spans="1:5" x14ac:dyDescent="0.75">
      <c r="A128">
        <v>287</v>
      </c>
      <c r="B128" t="s">
        <v>210</v>
      </c>
      <c r="C128" s="6">
        <v>1700</v>
      </c>
      <c r="D128" s="1">
        <v>84087025</v>
      </c>
      <c r="E128" s="2">
        <f>C128/D128</f>
        <v>2.0217150029983818E-5</v>
      </c>
    </row>
    <row r="129" spans="1:5" x14ac:dyDescent="0.75">
      <c r="A129">
        <v>568</v>
      </c>
      <c r="B129" t="s">
        <v>301</v>
      </c>
      <c r="C129" s="5">
        <v>10</v>
      </c>
      <c r="D129" s="1">
        <v>527725</v>
      </c>
      <c r="E129" s="2">
        <f>C129/D129</f>
        <v>1.8949263347387372E-5</v>
      </c>
    </row>
    <row r="130" spans="1:5" x14ac:dyDescent="0.75">
      <c r="A130">
        <v>128</v>
      </c>
      <c r="B130" t="s">
        <v>144</v>
      </c>
      <c r="C130" s="5">
        <v>168</v>
      </c>
      <c r="D130" s="1">
        <v>9401925</v>
      </c>
      <c r="E130" s="2">
        <f>C130/D130</f>
        <v>1.786868114774368E-5</v>
      </c>
    </row>
    <row r="131" spans="1:5" x14ac:dyDescent="0.75">
      <c r="A131">
        <v>88</v>
      </c>
      <c r="B131" t="s">
        <v>127</v>
      </c>
      <c r="C131" s="5">
        <v>230</v>
      </c>
      <c r="D131" s="1">
        <v>13104575</v>
      </c>
      <c r="E131" s="2">
        <f>C131/D131</f>
        <v>1.7551122413355641E-5</v>
      </c>
    </row>
    <row r="132" spans="1:5" x14ac:dyDescent="0.75">
      <c r="A132">
        <v>46</v>
      </c>
      <c r="B132" t="s">
        <v>104</v>
      </c>
      <c r="C132" s="6">
        <v>4461</v>
      </c>
      <c r="D132" s="1">
        <v>256894925</v>
      </c>
      <c r="E132" s="2">
        <f>C132/D132</f>
        <v>1.7365076402346212E-5</v>
      </c>
    </row>
    <row r="133" spans="1:5" x14ac:dyDescent="0.75">
      <c r="A133">
        <v>510</v>
      </c>
      <c r="B133" t="s">
        <v>289</v>
      </c>
      <c r="C133" s="5">
        <v>11</v>
      </c>
      <c r="D133" s="1">
        <v>771600</v>
      </c>
      <c r="E133" s="2">
        <f>C133/D133</f>
        <v>1.425609123898393E-5</v>
      </c>
    </row>
    <row r="134" spans="1:5" x14ac:dyDescent="0.75">
      <c r="A134">
        <v>340</v>
      </c>
      <c r="B134" t="s">
        <v>233</v>
      </c>
      <c r="C134" s="5">
        <v>146</v>
      </c>
      <c r="D134" s="1">
        <v>10325950</v>
      </c>
      <c r="E134" s="2">
        <f>C134/D134</f>
        <v>1.41391348979997E-5</v>
      </c>
    </row>
    <row r="135" spans="1:5" x14ac:dyDescent="0.75">
      <c r="A135">
        <v>323</v>
      </c>
      <c r="B135" t="s">
        <v>225</v>
      </c>
      <c r="C135" s="5">
        <v>22</v>
      </c>
      <c r="D135" s="1">
        <v>1666375</v>
      </c>
      <c r="E135" s="2">
        <f>C135/D135</f>
        <v>1.3202310404320757E-5</v>
      </c>
    </row>
    <row r="136" spans="1:5" x14ac:dyDescent="0.75">
      <c r="A136">
        <v>373</v>
      </c>
      <c r="B136" t="s">
        <v>245</v>
      </c>
      <c r="C136" s="5">
        <v>140</v>
      </c>
      <c r="D136" s="1">
        <v>10659500</v>
      </c>
      <c r="E136" s="2">
        <f>C136/D136</f>
        <v>1.313382428819363E-5</v>
      </c>
    </row>
    <row r="137" spans="1:5" x14ac:dyDescent="0.75">
      <c r="A137">
        <v>43</v>
      </c>
      <c r="B137" t="s">
        <v>102</v>
      </c>
      <c r="C137" s="5">
        <v>96</v>
      </c>
      <c r="D137" s="1">
        <v>8336075</v>
      </c>
      <c r="E137" s="2">
        <f>C137/D137</f>
        <v>1.1516211166526213E-5</v>
      </c>
    </row>
    <row r="138" spans="1:5" x14ac:dyDescent="0.75">
      <c r="A138">
        <v>178</v>
      </c>
      <c r="B138" t="s">
        <v>169</v>
      </c>
      <c r="C138" s="5">
        <v>264</v>
      </c>
      <c r="D138" s="1">
        <v>27962425</v>
      </c>
      <c r="E138" s="2">
        <f>C138/D138</f>
        <v>9.4412412371244621E-6</v>
      </c>
    </row>
    <row r="139" spans="1:5" x14ac:dyDescent="0.75">
      <c r="A139">
        <v>108</v>
      </c>
      <c r="B139" t="s">
        <v>136</v>
      </c>
      <c r="C139" s="5">
        <v>4</v>
      </c>
      <c r="D139" s="1">
        <v>522575</v>
      </c>
      <c r="E139" s="2">
        <f>C139/D139</f>
        <v>7.6544036741137636E-6</v>
      </c>
    </row>
    <row r="140" spans="1:5" x14ac:dyDescent="0.75">
      <c r="A140">
        <v>304</v>
      </c>
      <c r="B140" t="s">
        <v>217</v>
      </c>
      <c r="C140" s="5">
        <v>28</v>
      </c>
      <c r="D140" s="1">
        <v>3660325</v>
      </c>
      <c r="E140" s="2">
        <f>C140/D140</f>
        <v>7.6495939568207733E-6</v>
      </c>
    </row>
    <row r="141" spans="1:5" x14ac:dyDescent="0.75">
      <c r="A141">
        <v>452</v>
      </c>
      <c r="B141" t="s">
        <v>271</v>
      </c>
      <c r="C141" s="5">
        <v>4</v>
      </c>
      <c r="D141" s="1">
        <v>592925</v>
      </c>
      <c r="E141" s="2">
        <f>C141/D141</f>
        <v>6.7462157945777292E-6</v>
      </c>
    </row>
    <row r="142" spans="1:5" x14ac:dyDescent="0.75">
      <c r="A142">
        <v>208</v>
      </c>
      <c r="B142" t="s">
        <v>182</v>
      </c>
      <c r="C142" s="5">
        <v>43</v>
      </c>
      <c r="D142" s="1">
        <v>6543075</v>
      </c>
      <c r="E142" s="2">
        <f>C142/D142</f>
        <v>6.5718335797770929E-6</v>
      </c>
    </row>
    <row r="143" spans="1:5" x14ac:dyDescent="0.75">
      <c r="A143">
        <v>42</v>
      </c>
      <c r="B143" t="s">
        <v>101</v>
      </c>
      <c r="C143" s="5">
        <v>9</v>
      </c>
      <c r="D143" s="1">
        <v>1427200</v>
      </c>
      <c r="E143" s="2">
        <f>C143/D143</f>
        <v>6.3060538116591931E-6</v>
      </c>
    </row>
    <row r="144" spans="1:5" x14ac:dyDescent="0.75">
      <c r="A144">
        <v>97</v>
      </c>
      <c r="B144" t="s">
        <v>130</v>
      </c>
      <c r="C144" s="5">
        <v>28</v>
      </c>
      <c r="D144" s="1">
        <v>4632850</v>
      </c>
      <c r="E144" s="2">
        <f>C144/D144</f>
        <v>6.0437959355472331E-6</v>
      </c>
    </row>
    <row r="145" spans="1:5" x14ac:dyDescent="0.75">
      <c r="A145">
        <v>321</v>
      </c>
      <c r="B145" t="s">
        <v>224</v>
      </c>
      <c r="C145" s="5">
        <v>7</v>
      </c>
      <c r="D145" s="1">
        <v>1230875</v>
      </c>
      <c r="E145" s="2">
        <f>C145/D145</f>
        <v>5.6870112724687719E-6</v>
      </c>
    </row>
    <row r="146" spans="1:5" x14ac:dyDescent="0.75">
      <c r="A146">
        <v>473</v>
      </c>
      <c r="B146" t="s">
        <v>282</v>
      </c>
      <c r="C146" s="5">
        <v>2</v>
      </c>
      <c r="D146" s="1">
        <v>367650</v>
      </c>
      <c r="E146" s="2">
        <f>C146/D146</f>
        <v>5.4399564803481569E-6</v>
      </c>
    </row>
    <row r="147" spans="1:5" x14ac:dyDescent="0.75">
      <c r="A147">
        <v>326</v>
      </c>
      <c r="B147" t="s">
        <v>226</v>
      </c>
      <c r="C147" s="5">
        <v>109</v>
      </c>
      <c r="D147" s="1">
        <v>23172225</v>
      </c>
      <c r="E147" s="2">
        <f>C147/D147</f>
        <v>4.7039073718643765E-6</v>
      </c>
    </row>
    <row r="148" spans="1:5" x14ac:dyDescent="0.75">
      <c r="A148">
        <v>83</v>
      </c>
      <c r="B148" t="s">
        <v>124</v>
      </c>
      <c r="C148" s="5">
        <v>40</v>
      </c>
      <c r="D148" s="1">
        <v>9382475</v>
      </c>
      <c r="E148" s="2">
        <f>C148/D148</f>
        <v>4.2632674214426363E-6</v>
      </c>
    </row>
    <row r="149" spans="1:5" x14ac:dyDescent="0.75">
      <c r="A149">
        <v>416</v>
      </c>
      <c r="B149" t="s">
        <v>260</v>
      </c>
      <c r="C149" s="5">
        <v>18</v>
      </c>
      <c r="D149" s="1">
        <v>4346425</v>
      </c>
      <c r="E149" s="2">
        <f>C149/D149</f>
        <v>4.141334545057145E-6</v>
      </c>
    </row>
    <row r="150" spans="1:5" x14ac:dyDescent="0.75">
      <c r="A150">
        <v>436</v>
      </c>
      <c r="B150" t="s">
        <v>265</v>
      </c>
      <c r="C150" s="5">
        <v>3</v>
      </c>
      <c r="D150" s="1">
        <v>791550</v>
      </c>
      <c r="E150" s="2">
        <f>C150/D150</f>
        <v>3.7900322152738299E-6</v>
      </c>
    </row>
    <row r="151" spans="1:5" x14ac:dyDescent="0.75">
      <c r="A151">
        <v>145</v>
      </c>
      <c r="B151" t="s">
        <v>154</v>
      </c>
      <c r="C151" s="5">
        <v>49</v>
      </c>
      <c r="D151" s="1">
        <v>15082425</v>
      </c>
      <c r="E151" s="2">
        <f>C151/D151</f>
        <v>3.2488144313663088E-6</v>
      </c>
    </row>
    <row r="152" spans="1:5" x14ac:dyDescent="0.75">
      <c r="A152">
        <v>240</v>
      </c>
      <c r="B152" t="s">
        <v>194</v>
      </c>
      <c r="C152" s="5">
        <v>2</v>
      </c>
      <c r="D152" s="1">
        <v>635125</v>
      </c>
      <c r="E152" s="2">
        <f>C152/D152</f>
        <v>3.148986419996064E-6</v>
      </c>
    </row>
    <row r="153" spans="1:5" x14ac:dyDescent="0.75">
      <c r="A153">
        <v>289</v>
      </c>
      <c r="B153" t="s">
        <v>211</v>
      </c>
      <c r="C153" s="5">
        <v>5</v>
      </c>
      <c r="D153" s="1">
        <v>1590850</v>
      </c>
      <c r="E153" s="2">
        <f>C153/D153</f>
        <v>3.1429738818870415E-6</v>
      </c>
    </row>
    <row r="154" spans="1:5" x14ac:dyDescent="0.75">
      <c r="A154">
        <v>149</v>
      </c>
      <c r="B154" t="s">
        <v>156</v>
      </c>
      <c r="C154" s="5">
        <v>3</v>
      </c>
      <c r="D154" s="1">
        <v>1087950</v>
      </c>
      <c r="E154" s="2">
        <f>C154/D154</f>
        <v>2.7574796635874812E-6</v>
      </c>
    </row>
    <row r="155" spans="1:5" x14ac:dyDescent="0.75">
      <c r="A155">
        <v>462</v>
      </c>
      <c r="B155" t="s">
        <v>275</v>
      </c>
      <c r="C155" s="5">
        <v>8</v>
      </c>
      <c r="D155" s="1">
        <v>3176675</v>
      </c>
      <c r="E155" s="2">
        <f>C155/D155</f>
        <v>2.5183564576168477E-6</v>
      </c>
    </row>
    <row r="156" spans="1:5" x14ac:dyDescent="0.75">
      <c r="A156">
        <v>463</v>
      </c>
      <c r="B156" t="s">
        <v>276</v>
      </c>
      <c r="C156" s="5">
        <v>6</v>
      </c>
      <c r="D156" s="1">
        <v>2951900</v>
      </c>
      <c r="E156" s="2">
        <f>C156/D156</f>
        <v>2.0325891798502661E-6</v>
      </c>
    </row>
    <row r="157" spans="1:5" x14ac:dyDescent="0.75">
      <c r="A157">
        <v>428</v>
      </c>
      <c r="B157" t="s">
        <v>67</v>
      </c>
      <c r="C157" s="5">
        <v>31</v>
      </c>
      <c r="D157" s="1">
        <v>16901350</v>
      </c>
      <c r="E157" s="2">
        <f>C157/D157</f>
        <v>1.8341730098483257E-6</v>
      </c>
    </row>
    <row r="158" spans="1:5" x14ac:dyDescent="0.75">
      <c r="A158">
        <v>374</v>
      </c>
      <c r="B158" t="s">
        <v>246</v>
      </c>
      <c r="C158" s="5">
        <v>7</v>
      </c>
      <c r="D158" s="1">
        <v>4053275</v>
      </c>
      <c r="E158" s="2">
        <f>C158/D158</f>
        <v>1.7269985382190945E-6</v>
      </c>
    </row>
    <row r="159" spans="1:5" x14ac:dyDescent="0.75">
      <c r="A159">
        <v>47</v>
      </c>
      <c r="B159" t="s">
        <v>105</v>
      </c>
      <c r="C159" s="5">
        <v>19</v>
      </c>
      <c r="D159" s="1">
        <v>11774025</v>
      </c>
      <c r="E159" s="2">
        <f>C159/D159</f>
        <v>1.6137217306740897E-6</v>
      </c>
    </row>
    <row r="160" spans="1:5" x14ac:dyDescent="0.75">
      <c r="A160">
        <v>122</v>
      </c>
      <c r="B160" t="s">
        <v>142</v>
      </c>
      <c r="C160" s="5">
        <v>49</v>
      </c>
      <c r="D160" s="1">
        <v>33678875</v>
      </c>
      <c r="E160" s="2">
        <f>C160/D160</f>
        <v>1.4549179567310368E-6</v>
      </c>
    </row>
    <row r="161" spans="1:5" x14ac:dyDescent="0.75">
      <c r="A161">
        <v>196</v>
      </c>
      <c r="B161" t="s">
        <v>175</v>
      </c>
      <c r="C161" s="5">
        <v>4</v>
      </c>
      <c r="D161" s="1">
        <v>2896575</v>
      </c>
      <c r="E161" s="2">
        <f>C161/D161</f>
        <v>1.3809412841027765E-6</v>
      </c>
    </row>
    <row r="162" spans="1:5" x14ac:dyDescent="0.75">
      <c r="A162">
        <v>184</v>
      </c>
      <c r="B162" t="s">
        <v>171</v>
      </c>
      <c r="C162" s="5">
        <v>206</v>
      </c>
      <c r="D162" s="1">
        <v>174214050</v>
      </c>
      <c r="E162" s="2">
        <f>C162/D162</f>
        <v>1.1824534243937271E-6</v>
      </c>
    </row>
    <row r="163" spans="1:5" x14ac:dyDescent="0.75">
      <c r="A163">
        <v>135</v>
      </c>
      <c r="B163" t="s">
        <v>148</v>
      </c>
      <c r="C163" s="5">
        <v>1</v>
      </c>
      <c r="D163" s="1">
        <v>912525</v>
      </c>
      <c r="E163" s="2">
        <f>C163/D163</f>
        <v>1.095860387386647E-6</v>
      </c>
    </row>
    <row r="164" spans="1:5" x14ac:dyDescent="0.75">
      <c r="A164">
        <v>253</v>
      </c>
      <c r="B164" t="s">
        <v>198</v>
      </c>
      <c r="C164" s="5">
        <v>8</v>
      </c>
      <c r="D164" s="1">
        <v>8400275</v>
      </c>
      <c r="E164" s="2">
        <f>C164/D164</f>
        <v>9.5234977426334255E-7</v>
      </c>
    </row>
    <row r="165" spans="1:5" x14ac:dyDescent="0.75">
      <c r="A165">
        <v>235</v>
      </c>
      <c r="B165" t="s">
        <v>192</v>
      </c>
      <c r="C165" s="5">
        <v>4</v>
      </c>
      <c r="D165" s="1">
        <v>5788925</v>
      </c>
      <c r="E165" s="2">
        <f>C165/D165</f>
        <v>6.9097457645417761E-7</v>
      </c>
    </row>
    <row r="166" spans="1:5" x14ac:dyDescent="0.75">
      <c r="A166">
        <v>383</v>
      </c>
      <c r="B166" t="s">
        <v>250</v>
      </c>
      <c r="C166" s="5">
        <v>1</v>
      </c>
      <c r="D166" s="1">
        <v>1647025</v>
      </c>
      <c r="E166" s="2">
        <f>C166/D166</f>
        <v>6.0715532551114894E-7</v>
      </c>
    </row>
    <row r="167" spans="1:5" x14ac:dyDescent="0.75">
      <c r="A167">
        <v>74</v>
      </c>
      <c r="B167" t="s">
        <v>118</v>
      </c>
      <c r="C167" s="5">
        <v>20</v>
      </c>
      <c r="D167" s="1">
        <v>36472975</v>
      </c>
      <c r="E167" s="2">
        <f>C167/D167</f>
        <v>5.4835121072520129E-7</v>
      </c>
    </row>
    <row r="168" spans="1:5" x14ac:dyDescent="0.75">
      <c r="A168">
        <v>173</v>
      </c>
      <c r="B168" t="s">
        <v>167</v>
      </c>
      <c r="C168" s="5">
        <v>28</v>
      </c>
      <c r="D168" s="1">
        <v>55622775</v>
      </c>
      <c r="E168" s="2">
        <f>C168/D168</f>
        <v>5.033909221537401E-7</v>
      </c>
    </row>
    <row r="169" spans="1:5" x14ac:dyDescent="0.75">
      <c r="A169">
        <v>54</v>
      </c>
      <c r="B169" t="s">
        <v>110</v>
      </c>
      <c r="C169" s="5">
        <v>5</v>
      </c>
      <c r="D169" s="1">
        <v>10461675</v>
      </c>
      <c r="E169" s="2">
        <f>C169/D169</f>
        <v>4.7793493871679243E-7</v>
      </c>
    </row>
    <row r="170" spans="1:5" x14ac:dyDescent="0.75">
      <c r="A170">
        <v>170</v>
      </c>
      <c r="B170" t="s">
        <v>165</v>
      </c>
      <c r="C170" s="5">
        <v>1</v>
      </c>
      <c r="D170" s="1">
        <v>2292700</v>
      </c>
      <c r="E170" s="2">
        <f>C170/D170</f>
        <v>4.3616696471409257E-7</v>
      </c>
    </row>
    <row r="171" spans="1:5" x14ac:dyDescent="0.75">
      <c r="A171">
        <v>466</v>
      </c>
      <c r="B171" t="s">
        <v>278</v>
      </c>
      <c r="C171" s="5">
        <v>4</v>
      </c>
      <c r="D171" s="1">
        <v>11163225</v>
      </c>
      <c r="E171" s="2">
        <f>C171/D171</f>
        <v>3.5831939246947009E-7</v>
      </c>
    </row>
    <row r="172" spans="1:5" x14ac:dyDescent="0.75">
      <c r="A172">
        <v>483</v>
      </c>
      <c r="B172" t="s">
        <v>284</v>
      </c>
      <c r="C172" s="5">
        <v>12</v>
      </c>
      <c r="D172" s="1">
        <v>34559925</v>
      </c>
      <c r="E172" s="2">
        <f>C172/D172</f>
        <v>3.47222975744305E-7</v>
      </c>
    </row>
    <row r="173" spans="1:5" x14ac:dyDescent="0.75">
      <c r="A173">
        <v>536</v>
      </c>
      <c r="B173" t="s">
        <v>292</v>
      </c>
      <c r="C173" s="5">
        <v>1</v>
      </c>
      <c r="D173" s="1">
        <v>3616675</v>
      </c>
      <c r="E173" s="2">
        <f>C173/D173</f>
        <v>2.7649705876253743E-7</v>
      </c>
    </row>
    <row r="174" spans="1:5" x14ac:dyDescent="0.75">
      <c r="A174">
        <v>391</v>
      </c>
      <c r="B174" t="s">
        <v>252</v>
      </c>
      <c r="C174" s="5">
        <v>3</v>
      </c>
      <c r="D174" s="1">
        <v>14556600</v>
      </c>
      <c r="E174" s="2">
        <f>C174/D174</f>
        <v>2.0609208194221178E-7</v>
      </c>
    </row>
    <row r="175" spans="1:5" x14ac:dyDescent="0.75">
      <c r="A175">
        <v>313</v>
      </c>
      <c r="B175" t="s">
        <v>221</v>
      </c>
      <c r="C175" s="5">
        <v>8</v>
      </c>
      <c r="D175" s="1">
        <v>67478250</v>
      </c>
      <c r="E175" s="2">
        <f>C175/D175</f>
        <v>1.1855672012833765E-7</v>
      </c>
    </row>
    <row r="176" spans="1:5" x14ac:dyDescent="0.75">
      <c r="A176">
        <v>131</v>
      </c>
      <c r="B176" t="s">
        <v>145</v>
      </c>
      <c r="C176" s="5">
        <v>3</v>
      </c>
      <c r="D176" s="1">
        <v>32805825</v>
      </c>
      <c r="E176" s="2">
        <f>C176/D176</f>
        <v>9.1447174396620114E-8</v>
      </c>
    </row>
    <row r="177" spans="1:5" x14ac:dyDescent="0.75">
      <c r="A177">
        <v>197</v>
      </c>
      <c r="B177" t="s">
        <v>176</v>
      </c>
      <c r="C177" s="5">
        <v>1</v>
      </c>
      <c r="D177" s="1">
        <v>14710400</v>
      </c>
      <c r="E177" s="2">
        <f>C177/D177</f>
        <v>6.797911681531433E-8</v>
      </c>
    </row>
    <row r="178" spans="1:5" x14ac:dyDescent="0.75">
      <c r="A178">
        <v>71</v>
      </c>
      <c r="B178" t="s">
        <v>117</v>
      </c>
      <c r="C178" s="5">
        <v>1</v>
      </c>
      <c r="D178" s="1">
        <v>17115200</v>
      </c>
      <c r="E178" s="2">
        <f>C178/D178</f>
        <v>5.8427596522389454E-8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4C2C-0011-40B3-B1F6-57ABA8B641C0}">
  <dimension ref="A2:E230"/>
  <sheetViews>
    <sheetView workbookViewId="0">
      <selection sqref="A1:E1048576"/>
    </sheetView>
  </sheetViews>
  <sheetFormatPr defaultRowHeight="14.75" x14ac:dyDescent="0.75"/>
  <cols>
    <col min="1" max="1" width="3.7265625" bestFit="1" customWidth="1"/>
    <col min="2" max="2" width="96.86328125" bestFit="1" customWidth="1"/>
    <col min="3" max="3" width="3.453125" bestFit="1" customWidth="1"/>
    <col min="4" max="4" width="9.6796875" bestFit="1" customWidth="1"/>
    <col min="5" max="5" width="7.6796875" bestFit="1" customWidth="1"/>
  </cols>
  <sheetData>
    <row r="2" spans="1:5" x14ac:dyDescent="0.75">
      <c r="A2">
        <v>12</v>
      </c>
      <c r="B2" t="s">
        <v>86</v>
      </c>
      <c r="C2">
        <v>-92</v>
      </c>
      <c r="D2" s="1">
        <v>8477125</v>
      </c>
      <c r="E2" t="s">
        <v>81</v>
      </c>
    </row>
    <row r="3" spans="1:5" x14ac:dyDescent="0.75">
      <c r="A3">
        <v>106</v>
      </c>
      <c r="B3" t="s">
        <v>327</v>
      </c>
      <c r="C3">
        <v>0</v>
      </c>
      <c r="D3">
        <v>200</v>
      </c>
      <c r="E3" s="2">
        <v>0</v>
      </c>
    </row>
    <row r="4" spans="1:5" x14ac:dyDescent="0.75">
      <c r="A4">
        <v>271</v>
      </c>
      <c r="B4" t="s">
        <v>392</v>
      </c>
      <c r="C4">
        <v>0</v>
      </c>
      <c r="D4" s="1">
        <v>1650</v>
      </c>
      <c r="E4" s="2">
        <v>0</v>
      </c>
    </row>
    <row r="5" spans="1:5" x14ac:dyDescent="0.75">
      <c r="A5">
        <v>572</v>
      </c>
      <c r="B5" t="s">
        <v>559</v>
      </c>
      <c r="C5">
        <v>0</v>
      </c>
      <c r="D5" s="1">
        <v>2050</v>
      </c>
      <c r="E5" s="2">
        <v>0</v>
      </c>
    </row>
    <row r="6" spans="1:5" x14ac:dyDescent="0.75">
      <c r="A6">
        <v>455</v>
      </c>
      <c r="B6" t="s">
        <v>481</v>
      </c>
      <c r="C6">
        <v>0</v>
      </c>
      <c r="D6" s="1">
        <v>2700</v>
      </c>
      <c r="E6" s="2">
        <v>0</v>
      </c>
    </row>
    <row r="7" spans="1:5" x14ac:dyDescent="0.75">
      <c r="A7">
        <v>297</v>
      </c>
      <c r="B7" t="s">
        <v>403</v>
      </c>
      <c r="C7">
        <v>0</v>
      </c>
      <c r="D7" s="1">
        <v>3800</v>
      </c>
      <c r="E7" s="2">
        <v>0</v>
      </c>
    </row>
    <row r="8" spans="1:5" x14ac:dyDescent="0.75">
      <c r="A8">
        <v>487</v>
      </c>
      <c r="B8" t="s">
        <v>499</v>
      </c>
      <c r="C8">
        <v>0</v>
      </c>
      <c r="D8" s="1">
        <v>5375</v>
      </c>
      <c r="E8" s="2">
        <v>0</v>
      </c>
    </row>
    <row r="9" spans="1:5" x14ac:dyDescent="0.75">
      <c r="A9">
        <v>561</v>
      </c>
      <c r="B9" t="s">
        <v>551</v>
      </c>
      <c r="C9">
        <v>0</v>
      </c>
      <c r="D9" s="1">
        <v>5375</v>
      </c>
      <c r="E9" s="2">
        <v>0</v>
      </c>
    </row>
    <row r="10" spans="1:5" x14ac:dyDescent="0.75">
      <c r="A10">
        <v>320</v>
      </c>
      <c r="B10" t="s">
        <v>415</v>
      </c>
      <c r="C10">
        <v>0</v>
      </c>
      <c r="D10" s="1">
        <v>6125</v>
      </c>
      <c r="E10" s="2">
        <v>0</v>
      </c>
    </row>
    <row r="11" spans="1:5" x14ac:dyDescent="0.75">
      <c r="A11">
        <v>415</v>
      </c>
      <c r="B11" t="s">
        <v>459</v>
      </c>
      <c r="C11">
        <v>0</v>
      </c>
      <c r="D11" s="1">
        <v>7325</v>
      </c>
      <c r="E11" s="2">
        <v>0</v>
      </c>
    </row>
    <row r="12" spans="1:5" x14ac:dyDescent="0.75">
      <c r="A12">
        <v>524</v>
      </c>
      <c r="B12" t="s">
        <v>523</v>
      </c>
      <c r="C12">
        <v>0</v>
      </c>
      <c r="D12" s="1">
        <v>11525</v>
      </c>
      <c r="E12" s="2">
        <v>0</v>
      </c>
    </row>
    <row r="13" spans="1:5" x14ac:dyDescent="0.75">
      <c r="A13">
        <v>545</v>
      </c>
      <c r="B13" t="s">
        <v>539</v>
      </c>
      <c r="C13">
        <v>0</v>
      </c>
      <c r="D13" s="1">
        <v>16150</v>
      </c>
      <c r="E13" s="2">
        <v>0</v>
      </c>
    </row>
    <row r="14" spans="1:5" x14ac:dyDescent="0.75">
      <c r="A14">
        <v>570</v>
      </c>
      <c r="B14" t="s">
        <v>557</v>
      </c>
      <c r="C14">
        <v>0</v>
      </c>
      <c r="D14" s="1">
        <v>18825</v>
      </c>
      <c r="E14" s="2">
        <v>0</v>
      </c>
    </row>
    <row r="15" spans="1:5" x14ac:dyDescent="0.75">
      <c r="A15">
        <v>479</v>
      </c>
      <c r="B15" t="s">
        <v>494</v>
      </c>
      <c r="C15">
        <v>0</v>
      </c>
      <c r="D15" s="1">
        <v>18850</v>
      </c>
      <c r="E15" s="2">
        <v>0</v>
      </c>
    </row>
    <row r="16" spans="1:5" x14ac:dyDescent="0.75">
      <c r="A16">
        <v>230</v>
      </c>
      <c r="B16" t="s">
        <v>374</v>
      </c>
      <c r="C16">
        <v>0</v>
      </c>
      <c r="D16" s="1">
        <v>21425</v>
      </c>
      <c r="E16" s="2">
        <v>0</v>
      </c>
    </row>
    <row r="17" spans="1:5" x14ac:dyDescent="0.75">
      <c r="A17">
        <v>517</v>
      </c>
      <c r="B17" t="s">
        <v>516</v>
      </c>
      <c r="C17">
        <v>0</v>
      </c>
      <c r="D17" s="1">
        <v>21550</v>
      </c>
      <c r="E17" s="2">
        <v>0</v>
      </c>
    </row>
    <row r="18" spans="1:5" x14ac:dyDescent="0.75">
      <c r="A18">
        <v>475</v>
      </c>
      <c r="B18" t="s">
        <v>490</v>
      </c>
      <c r="C18">
        <v>0</v>
      </c>
      <c r="D18" s="1">
        <v>24225</v>
      </c>
      <c r="E18" s="2">
        <v>0</v>
      </c>
    </row>
    <row r="19" spans="1:5" x14ac:dyDescent="0.75">
      <c r="A19">
        <v>251</v>
      </c>
      <c r="B19" t="s">
        <v>382</v>
      </c>
      <c r="C19">
        <v>0</v>
      </c>
      <c r="D19" s="1">
        <v>25500</v>
      </c>
      <c r="E19" s="2">
        <v>0</v>
      </c>
    </row>
    <row r="20" spans="1:5" x14ac:dyDescent="0.75">
      <c r="A20">
        <v>600</v>
      </c>
      <c r="B20" t="s">
        <v>581</v>
      </c>
      <c r="C20">
        <v>0</v>
      </c>
      <c r="D20" s="1">
        <v>31900</v>
      </c>
      <c r="E20" s="2">
        <v>0</v>
      </c>
    </row>
    <row r="21" spans="1:5" x14ac:dyDescent="0.75">
      <c r="A21">
        <v>325</v>
      </c>
      <c r="B21" t="s">
        <v>418</v>
      </c>
      <c r="C21">
        <v>0</v>
      </c>
      <c r="D21" s="1">
        <v>34975</v>
      </c>
      <c r="E21" s="2">
        <v>0</v>
      </c>
    </row>
    <row r="22" spans="1:5" x14ac:dyDescent="0.75">
      <c r="A22">
        <v>446</v>
      </c>
      <c r="B22" t="s">
        <v>477</v>
      </c>
      <c r="C22">
        <v>0</v>
      </c>
      <c r="D22" s="1">
        <v>35000</v>
      </c>
      <c r="E22" s="2">
        <v>0</v>
      </c>
    </row>
    <row r="23" spans="1:5" x14ac:dyDescent="0.75">
      <c r="A23">
        <v>573</v>
      </c>
      <c r="B23" t="s">
        <v>560</v>
      </c>
      <c r="C23">
        <v>0</v>
      </c>
      <c r="D23" s="1">
        <v>37700</v>
      </c>
      <c r="E23" s="2">
        <v>0</v>
      </c>
    </row>
    <row r="24" spans="1:5" x14ac:dyDescent="0.75">
      <c r="A24">
        <v>1</v>
      </c>
      <c r="B24" t="s">
        <v>310</v>
      </c>
      <c r="C24">
        <v>0</v>
      </c>
      <c r="D24" s="1">
        <v>42850</v>
      </c>
      <c r="E24" s="2">
        <v>0</v>
      </c>
    </row>
    <row r="25" spans="1:5" x14ac:dyDescent="0.75">
      <c r="A25">
        <v>314</v>
      </c>
      <c r="B25" t="s">
        <v>412</v>
      </c>
      <c r="C25">
        <v>0</v>
      </c>
      <c r="D25" s="1">
        <v>43075</v>
      </c>
      <c r="E25" s="2">
        <v>0</v>
      </c>
    </row>
    <row r="26" spans="1:5" x14ac:dyDescent="0.75">
      <c r="A26">
        <v>113</v>
      </c>
      <c r="B26" t="s">
        <v>328</v>
      </c>
      <c r="C26">
        <v>0</v>
      </c>
      <c r="D26" s="1">
        <v>45125</v>
      </c>
      <c r="E26" s="2">
        <v>0</v>
      </c>
    </row>
    <row r="27" spans="1:5" x14ac:dyDescent="0.75">
      <c r="A27">
        <v>386</v>
      </c>
      <c r="B27" t="s">
        <v>444</v>
      </c>
      <c r="C27">
        <v>0</v>
      </c>
      <c r="D27" s="1">
        <v>47900</v>
      </c>
      <c r="E27" s="2">
        <v>0</v>
      </c>
    </row>
    <row r="28" spans="1:5" x14ac:dyDescent="0.75">
      <c r="A28">
        <v>543</v>
      </c>
      <c r="B28" t="s">
        <v>537</v>
      </c>
      <c r="C28">
        <v>0</v>
      </c>
      <c r="D28" s="1">
        <v>48450</v>
      </c>
      <c r="E28" s="2">
        <v>0</v>
      </c>
    </row>
    <row r="29" spans="1:5" x14ac:dyDescent="0.75">
      <c r="A29">
        <v>172</v>
      </c>
      <c r="B29" t="s">
        <v>348</v>
      </c>
      <c r="C29">
        <v>0</v>
      </c>
      <c r="D29" s="1">
        <v>49825</v>
      </c>
      <c r="E29" s="2">
        <v>0</v>
      </c>
    </row>
    <row r="30" spans="1:5" x14ac:dyDescent="0.75">
      <c r="A30">
        <v>294</v>
      </c>
      <c r="B30" t="s">
        <v>401</v>
      </c>
      <c r="C30">
        <v>0</v>
      </c>
      <c r="D30" s="1">
        <v>50325</v>
      </c>
      <c r="E30" s="2">
        <v>0</v>
      </c>
    </row>
    <row r="31" spans="1:5" x14ac:dyDescent="0.75">
      <c r="A31">
        <v>522</v>
      </c>
      <c r="B31" t="s">
        <v>521</v>
      </c>
      <c r="C31">
        <v>0</v>
      </c>
      <c r="D31" s="1">
        <v>50500</v>
      </c>
      <c r="E31" s="2">
        <v>0</v>
      </c>
    </row>
    <row r="32" spans="1:5" x14ac:dyDescent="0.75">
      <c r="A32">
        <v>507</v>
      </c>
      <c r="B32" t="s">
        <v>510</v>
      </c>
      <c r="C32">
        <v>0</v>
      </c>
      <c r="D32" s="1">
        <v>56550</v>
      </c>
      <c r="E32" s="2">
        <v>0</v>
      </c>
    </row>
    <row r="33" spans="1:5" x14ac:dyDescent="0.75">
      <c r="A33">
        <v>199</v>
      </c>
      <c r="B33" t="s">
        <v>361</v>
      </c>
      <c r="C33">
        <v>0</v>
      </c>
      <c r="D33" s="1">
        <v>66725</v>
      </c>
      <c r="E33" s="2">
        <v>0</v>
      </c>
    </row>
    <row r="34" spans="1:5" x14ac:dyDescent="0.75">
      <c r="A34">
        <v>571</v>
      </c>
      <c r="B34" t="s">
        <v>558</v>
      </c>
      <c r="C34">
        <v>0</v>
      </c>
      <c r="D34" s="1">
        <v>70000</v>
      </c>
      <c r="E34" s="2">
        <v>0</v>
      </c>
    </row>
    <row r="35" spans="1:5" x14ac:dyDescent="0.75">
      <c r="A35">
        <v>236</v>
      </c>
      <c r="B35" t="s">
        <v>377</v>
      </c>
      <c r="C35">
        <v>0</v>
      </c>
      <c r="D35" s="1">
        <v>72550</v>
      </c>
      <c r="E35" s="2">
        <v>0</v>
      </c>
    </row>
    <row r="36" spans="1:5" x14ac:dyDescent="0.75">
      <c r="A36">
        <v>562</v>
      </c>
      <c r="B36" t="s">
        <v>552</v>
      </c>
      <c r="C36">
        <v>0</v>
      </c>
      <c r="D36" s="1">
        <v>78075</v>
      </c>
      <c r="E36" s="2">
        <v>0</v>
      </c>
    </row>
    <row r="37" spans="1:5" x14ac:dyDescent="0.75">
      <c r="A37">
        <v>445</v>
      </c>
      <c r="B37" t="s">
        <v>476</v>
      </c>
      <c r="C37">
        <v>0</v>
      </c>
      <c r="D37" s="1">
        <v>80775</v>
      </c>
      <c r="E37" s="2">
        <v>0</v>
      </c>
    </row>
    <row r="38" spans="1:5" x14ac:dyDescent="0.75">
      <c r="A38">
        <v>437</v>
      </c>
      <c r="B38" t="s">
        <v>472</v>
      </c>
      <c r="C38">
        <v>0</v>
      </c>
      <c r="D38" s="1">
        <v>95150</v>
      </c>
      <c r="E38" s="2">
        <v>0</v>
      </c>
    </row>
    <row r="39" spans="1:5" x14ac:dyDescent="0.75">
      <c r="A39">
        <v>213</v>
      </c>
      <c r="B39" t="s">
        <v>365</v>
      </c>
      <c r="C39">
        <v>0</v>
      </c>
      <c r="D39" s="1">
        <v>105675</v>
      </c>
      <c r="E39" s="2">
        <v>0</v>
      </c>
    </row>
    <row r="40" spans="1:5" x14ac:dyDescent="0.75">
      <c r="A40">
        <v>474</v>
      </c>
      <c r="B40" t="s">
        <v>489</v>
      </c>
      <c r="C40">
        <v>0</v>
      </c>
      <c r="D40" s="1">
        <v>108125</v>
      </c>
      <c r="E40" s="2">
        <v>0</v>
      </c>
    </row>
    <row r="41" spans="1:5" x14ac:dyDescent="0.75">
      <c r="A41">
        <v>139</v>
      </c>
      <c r="B41" t="s">
        <v>335</v>
      </c>
      <c r="C41">
        <v>0</v>
      </c>
      <c r="D41" s="1">
        <v>114675</v>
      </c>
      <c r="E41" s="2">
        <v>0</v>
      </c>
    </row>
    <row r="42" spans="1:5" x14ac:dyDescent="0.75">
      <c r="A42">
        <v>327</v>
      </c>
      <c r="B42" t="s">
        <v>419</v>
      </c>
      <c r="C42">
        <v>0</v>
      </c>
      <c r="D42" s="1">
        <v>125075</v>
      </c>
      <c r="E42" s="2">
        <v>0</v>
      </c>
    </row>
    <row r="43" spans="1:5" x14ac:dyDescent="0.75">
      <c r="A43">
        <v>6</v>
      </c>
      <c r="B43" t="s">
        <v>314</v>
      </c>
      <c r="C43">
        <v>0</v>
      </c>
      <c r="D43" s="1">
        <v>126725</v>
      </c>
      <c r="E43" s="2">
        <v>0</v>
      </c>
    </row>
    <row r="44" spans="1:5" x14ac:dyDescent="0.75">
      <c r="A44">
        <v>526</v>
      </c>
      <c r="B44" t="s">
        <v>525</v>
      </c>
      <c r="C44">
        <v>0</v>
      </c>
      <c r="D44" s="1">
        <v>132375</v>
      </c>
      <c r="E44" s="2">
        <v>0</v>
      </c>
    </row>
    <row r="45" spans="1:5" x14ac:dyDescent="0.75">
      <c r="A45">
        <v>89</v>
      </c>
      <c r="B45" t="s">
        <v>324</v>
      </c>
      <c r="C45">
        <v>0</v>
      </c>
      <c r="D45" s="1">
        <v>136350</v>
      </c>
      <c r="E45" s="2">
        <v>0</v>
      </c>
    </row>
    <row r="46" spans="1:5" x14ac:dyDescent="0.75">
      <c r="A46">
        <v>141</v>
      </c>
      <c r="B46" t="s">
        <v>336</v>
      </c>
      <c r="C46">
        <v>0</v>
      </c>
      <c r="D46" s="1">
        <v>142250</v>
      </c>
      <c r="E46" s="2">
        <v>0</v>
      </c>
    </row>
    <row r="47" spans="1:5" x14ac:dyDescent="0.75">
      <c r="A47">
        <v>464</v>
      </c>
      <c r="B47" t="s">
        <v>486</v>
      </c>
      <c r="C47">
        <v>0</v>
      </c>
      <c r="D47" s="1">
        <v>151050</v>
      </c>
      <c r="E47" s="2">
        <v>0</v>
      </c>
    </row>
    <row r="48" spans="1:5" x14ac:dyDescent="0.75">
      <c r="A48">
        <v>352</v>
      </c>
      <c r="B48" t="s">
        <v>430</v>
      </c>
      <c r="C48">
        <v>0</v>
      </c>
      <c r="D48" s="1">
        <v>157650</v>
      </c>
      <c r="E48" s="2">
        <v>0</v>
      </c>
    </row>
    <row r="49" spans="1:5" x14ac:dyDescent="0.75">
      <c r="A49">
        <v>268</v>
      </c>
      <c r="B49" t="s">
        <v>390</v>
      </c>
      <c r="C49">
        <v>0</v>
      </c>
      <c r="D49" s="1">
        <v>168275</v>
      </c>
      <c r="E49" s="2">
        <v>0</v>
      </c>
    </row>
    <row r="50" spans="1:5" x14ac:dyDescent="0.75">
      <c r="A50">
        <v>419</v>
      </c>
      <c r="B50" t="s">
        <v>461</v>
      </c>
      <c r="C50">
        <v>0</v>
      </c>
      <c r="D50" s="1">
        <v>170350</v>
      </c>
      <c r="E50" s="2">
        <v>0</v>
      </c>
    </row>
    <row r="51" spans="1:5" x14ac:dyDescent="0.75">
      <c r="A51">
        <v>209</v>
      </c>
      <c r="B51" t="s">
        <v>364</v>
      </c>
      <c r="C51">
        <v>0</v>
      </c>
      <c r="D51" s="1">
        <v>174225</v>
      </c>
      <c r="E51" s="2">
        <v>0</v>
      </c>
    </row>
    <row r="52" spans="1:5" x14ac:dyDescent="0.75">
      <c r="A52">
        <v>560</v>
      </c>
      <c r="B52" t="s">
        <v>550</v>
      </c>
      <c r="C52">
        <v>0</v>
      </c>
      <c r="D52" s="1">
        <v>181125</v>
      </c>
      <c r="E52" s="2">
        <v>0</v>
      </c>
    </row>
    <row r="53" spans="1:5" x14ac:dyDescent="0.75">
      <c r="A53">
        <v>254</v>
      </c>
      <c r="B53" t="s">
        <v>384</v>
      </c>
      <c r="C53">
        <v>0</v>
      </c>
      <c r="D53" s="1">
        <v>182000</v>
      </c>
      <c r="E53" s="2">
        <v>0</v>
      </c>
    </row>
    <row r="54" spans="1:5" x14ac:dyDescent="0.75">
      <c r="A54">
        <v>451</v>
      </c>
      <c r="B54" t="s">
        <v>479</v>
      </c>
      <c r="C54">
        <v>0</v>
      </c>
      <c r="D54" s="1">
        <v>187725</v>
      </c>
      <c r="E54" s="2">
        <v>0</v>
      </c>
    </row>
    <row r="55" spans="1:5" x14ac:dyDescent="0.75">
      <c r="A55">
        <v>214</v>
      </c>
      <c r="B55" t="s">
        <v>366</v>
      </c>
      <c r="C55">
        <v>0</v>
      </c>
      <c r="D55" s="1">
        <v>193250</v>
      </c>
      <c r="E55" s="2">
        <v>0</v>
      </c>
    </row>
    <row r="56" spans="1:5" x14ac:dyDescent="0.75">
      <c r="A56">
        <v>20</v>
      </c>
      <c r="B56" t="s">
        <v>316</v>
      </c>
      <c r="C56">
        <v>0</v>
      </c>
      <c r="D56" s="1">
        <v>194575</v>
      </c>
      <c r="E56" s="2">
        <v>0</v>
      </c>
    </row>
    <row r="57" spans="1:5" x14ac:dyDescent="0.75">
      <c r="A57">
        <v>198</v>
      </c>
      <c r="B57" t="s">
        <v>360</v>
      </c>
      <c r="C57">
        <v>0</v>
      </c>
      <c r="D57" s="1">
        <v>205675</v>
      </c>
      <c r="E57" s="2">
        <v>0</v>
      </c>
    </row>
    <row r="58" spans="1:5" x14ac:dyDescent="0.75">
      <c r="A58">
        <v>409</v>
      </c>
      <c r="B58" t="s">
        <v>455</v>
      </c>
      <c r="C58">
        <v>0</v>
      </c>
      <c r="D58" s="1">
        <v>213525</v>
      </c>
      <c r="E58" s="2">
        <v>0</v>
      </c>
    </row>
    <row r="59" spans="1:5" x14ac:dyDescent="0.75">
      <c r="A59">
        <v>278</v>
      </c>
      <c r="B59" t="s">
        <v>395</v>
      </c>
      <c r="C59">
        <v>0</v>
      </c>
      <c r="D59" s="1">
        <v>216725</v>
      </c>
      <c r="E59" s="2">
        <v>0</v>
      </c>
    </row>
    <row r="60" spans="1:5" x14ac:dyDescent="0.75">
      <c r="A60">
        <v>382</v>
      </c>
      <c r="B60" t="s">
        <v>441</v>
      </c>
      <c r="C60">
        <v>0</v>
      </c>
      <c r="D60" s="1">
        <v>231050</v>
      </c>
      <c r="E60" s="2">
        <v>0</v>
      </c>
    </row>
    <row r="61" spans="1:5" x14ac:dyDescent="0.75">
      <c r="A61">
        <v>471</v>
      </c>
      <c r="B61" t="s">
        <v>488</v>
      </c>
      <c r="C61">
        <v>0</v>
      </c>
      <c r="D61" s="1">
        <v>238225</v>
      </c>
      <c r="E61" s="2">
        <v>0</v>
      </c>
    </row>
    <row r="62" spans="1:5" x14ac:dyDescent="0.75">
      <c r="A62">
        <v>150</v>
      </c>
      <c r="B62" t="s">
        <v>338</v>
      </c>
      <c r="C62">
        <v>0</v>
      </c>
      <c r="D62" s="1">
        <v>244000</v>
      </c>
      <c r="E62" s="2">
        <v>0</v>
      </c>
    </row>
    <row r="63" spans="1:5" x14ac:dyDescent="0.75">
      <c r="A63">
        <v>308</v>
      </c>
      <c r="B63" t="s">
        <v>407</v>
      </c>
      <c r="C63">
        <v>0</v>
      </c>
      <c r="D63" s="1">
        <v>256200</v>
      </c>
      <c r="E63" s="2">
        <v>0</v>
      </c>
    </row>
    <row r="64" spans="1:5" x14ac:dyDescent="0.75">
      <c r="A64">
        <v>193</v>
      </c>
      <c r="B64" t="s">
        <v>358</v>
      </c>
      <c r="C64">
        <v>0</v>
      </c>
      <c r="D64" s="1">
        <v>259925</v>
      </c>
      <c r="E64" s="2">
        <v>0</v>
      </c>
    </row>
    <row r="65" spans="1:5" x14ac:dyDescent="0.75">
      <c r="A65">
        <v>259</v>
      </c>
      <c r="B65" t="s">
        <v>386</v>
      </c>
      <c r="C65">
        <v>0</v>
      </c>
      <c r="D65" s="1">
        <v>264950</v>
      </c>
      <c r="E65" s="2">
        <v>0</v>
      </c>
    </row>
    <row r="66" spans="1:5" x14ac:dyDescent="0.75">
      <c r="A66">
        <v>244</v>
      </c>
      <c r="B66" t="s">
        <v>378</v>
      </c>
      <c r="C66">
        <v>0</v>
      </c>
      <c r="D66" s="1">
        <v>268250</v>
      </c>
      <c r="E66" s="2">
        <v>0</v>
      </c>
    </row>
    <row r="67" spans="1:5" x14ac:dyDescent="0.75">
      <c r="A67">
        <v>190</v>
      </c>
      <c r="B67" t="s">
        <v>355</v>
      </c>
      <c r="C67">
        <v>0</v>
      </c>
      <c r="D67" s="1">
        <v>280375</v>
      </c>
      <c r="E67" s="2">
        <v>0</v>
      </c>
    </row>
    <row r="68" spans="1:5" x14ac:dyDescent="0.75">
      <c r="A68">
        <v>589</v>
      </c>
      <c r="B68" t="s">
        <v>573</v>
      </c>
      <c r="C68">
        <v>0</v>
      </c>
      <c r="D68" s="1">
        <v>282725</v>
      </c>
      <c r="E68" s="2">
        <v>0</v>
      </c>
    </row>
    <row r="69" spans="1:5" x14ac:dyDescent="0.75">
      <c r="A69">
        <v>459</v>
      </c>
      <c r="B69" t="s">
        <v>484</v>
      </c>
      <c r="C69">
        <v>0</v>
      </c>
      <c r="D69" s="1">
        <v>299100</v>
      </c>
      <c r="E69" s="2">
        <v>0</v>
      </c>
    </row>
    <row r="70" spans="1:5" x14ac:dyDescent="0.75">
      <c r="A70">
        <v>346</v>
      </c>
      <c r="B70" t="s">
        <v>427</v>
      </c>
      <c r="C70">
        <v>0</v>
      </c>
      <c r="D70" s="1">
        <v>306950</v>
      </c>
      <c r="E70" s="2">
        <v>0</v>
      </c>
    </row>
    <row r="71" spans="1:5" x14ac:dyDescent="0.75">
      <c r="A71">
        <v>584</v>
      </c>
      <c r="B71" t="s">
        <v>570</v>
      </c>
      <c r="C71">
        <v>0</v>
      </c>
      <c r="D71" s="1">
        <v>309625</v>
      </c>
      <c r="E71" s="2">
        <v>0</v>
      </c>
    </row>
    <row r="72" spans="1:5" x14ac:dyDescent="0.75">
      <c r="A72">
        <v>157</v>
      </c>
      <c r="B72" t="s">
        <v>342</v>
      </c>
      <c r="C72">
        <v>0</v>
      </c>
      <c r="D72" s="1">
        <v>314275</v>
      </c>
      <c r="E72" s="2">
        <v>0</v>
      </c>
    </row>
    <row r="73" spans="1:5" x14ac:dyDescent="0.75">
      <c r="A73">
        <v>485</v>
      </c>
      <c r="B73" t="s">
        <v>497</v>
      </c>
      <c r="C73">
        <v>0</v>
      </c>
      <c r="D73" s="1">
        <v>315025</v>
      </c>
      <c r="E73" s="2">
        <v>0</v>
      </c>
    </row>
    <row r="74" spans="1:5" x14ac:dyDescent="0.75">
      <c r="A74">
        <v>296</v>
      </c>
      <c r="B74" t="s">
        <v>402</v>
      </c>
      <c r="C74">
        <v>0</v>
      </c>
      <c r="D74" s="1">
        <v>329600</v>
      </c>
      <c r="E74" s="2">
        <v>0</v>
      </c>
    </row>
    <row r="75" spans="1:5" x14ac:dyDescent="0.75">
      <c r="A75">
        <v>91</v>
      </c>
      <c r="B75" t="s">
        <v>325</v>
      </c>
      <c r="C75">
        <v>0</v>
      </c>
      <c r="D75" s="1">
        <v>336875</v>
      </c>
      <c r="E75" s="2">
        <v>0</v>
      </c>
    </row>
    <row r="76" spans="1:5" x14ac:dyDescent="0.75">
      <c r="A76">
        <v>293</v>
      </c>
      <c r="B76" t="s">
        <v>400</v>
      </c>
      <c r="C76">
        <v>0</v>
      </c>
      <c r="D76" s="1">
        <v>340625</v>
      </c>
      <c r="E76" s="2">
        <v>0</v>
      </c>
    </row>
    <row r="77" spans="1:5" x14ac:dyDescent="0.75">
      <c r="A77">
        <v>231</v>
      </c>
      <c r="B77" t="s">
        <v>375</v>
      </c>
      <c r="C77">
        <v>0</v>
      </c>
      <c r="D77" s="1">
        <v>341850</v>
      </c>
      <c r="E77" s="2">
        <v>0</v>
      </c>
    </row>
    <row r="78" spans="1:5" x14ac:dyDescent="0.75">
      <c r="A78">
        <v>387</v>
      </c>
      <c r="B78" t="s">
        <v>445</v>
      </c>
      <c r="C78">
        <v>0</v>
      </c>
      <c r="D78" s="1">
        <v>344400</v>
      </c>
      <c r="E78" s="2">
        <v>0</v>
      </c>
    </row>
    <row r="79" spans="1:5" x14ac:dyDescent="0.75">
      <c r="A79">
        <v>448</v>
      </c>
      <c r="B79" t="s">
        <v>478</v>
      </c>
      <c r="C79">
        <v>0</v>
      </c>
      <c r="D79" s="1">
        <v>355825</v>
      </c>
      <c r="E79" s="2">
        <v>0</v>
      </c>
    </row>
    <row r="80" spans="1:5" x14ac:dyDescent="0.75">
      <c r="A80">
        <v>515</v>
      </c>
      <c r="B80" t="s">
        <v>515</v>
      </c>
      <c r="C80">
        <v>0</v>
      </c>
      <c r="D80" s="1">
        <v>368600</v>
      </c>
      <c r="E80" s="2">
        <v>0</v>
      </c>
    </row>
    <row r="81" spans="1:5" x14ac:dyDescent="0.75">
      <c r="A81">
        <v>426</v>
      </c>
      <c r="B81" t="s">
        <v>466</v>
      </c>
      <c r="C81">
        <v>0</v>
      </c>
      <c r="D81" s="1">
        <v>376475</v>
      </c>
      <c r="E81" s="2">
        <v>0</v>
      </c>
    </row>
    <row r="82" spans="1:5" x14ac:dyDescent="0.75">
      <c r="A82">
        <v>303</v>
      </c>
      <c r="B82" t="s">
        <v>406</v>
      </c>
      <c r="C82">
        <v>0</v>
      </c>
      <c r="D82" s="1">
        <v>394175</v>
      </c>
      <c r="E82" s="2">
        <v>0</v>
      </c>
    </row>
    <row r="83" spans="1:5" x14ac:dyDescent="0.75">
      <c r="A83">
        <v>530</v>
      </c>
      <c r="B83" t="s">
        <v>528</v>
      </c>
      <c r="C83">
        <v>0</v>
      </c>
      <c r="D83" s="1">
        <v>414750</v>
      </c>
      <c r="E83" s="2">
        <v>0</v>
      </c>
    </row>
    <row r="84" spans="1:5" x14ac:dyDescent="0.75">
      <c r="A84">
        <v>246</v>
      </c>
      <c r="B84" t="s">
        <v>379</v>
      </c>
      <c r="C84">
        <v>0</v>
      </c>
      <c r="D84" s="1">
        <v>426925</v>
      </c>
      <c r="E84" s="2">
        <v>0</v>
      </c>
    </row>
    <row r="85" spans="1:5" x14ac:dyDescent="0.75">
      <c r="A85">
        <v>2</v>
      </c>
      <c r="B85" t="s">
        <v>311</v>
      </c>
      <c r="C85">
        <v>0</v>
      </c>
      <c r="D85" s="1">
        <v>430475</v>
      </c>
      <c r="E85" s="2">
        <v>0</v>
      </c>
    </row>
    <row r="86" spans="1:5" x14ac:dyDescent="0.75">
      <c r="A86">
        <v>152</v>
      </c>
      <c r="B86" t="s">
        <v>340</v>
      </c>
      <c r="C86">
        <v>0</v>
      </c>
      <c r="D86" s="1">
        <v>438875</v>
      </c>
      <c r="E86" s="2">
        <v>0</v>
      </c>
    </row>
    <row r="87" spans="1:5" x14ac:dyDescent="0.75">
      <c r="A87">
        <v>73</v>
      </c>
      <c r="B87" t="s">
        <v>323</v>
      </c>
      <c r="C87">
        <v>0</v>
      </c>
      <c r="D87" s="1">
        <v>462650</v>
      </c>
      <c r="E87" s="2">
        <v>0</v>
      </c>
    </row>
    <row r="88" spans="1:5" x14ac:dyDescent="0.75">
      <c r="A88">
        <v>427</v>
      </c>
      <c r="B88" t="s">
        <v>467</v>
      </c>
      <c r="C88">
        <v>0</v>
      </c>
      <c r="D88" s="1">
        <v>515750</v>
      </c>
      <c r="E88" s="2">
        <v>0</v>
      </c>
    </row>
    <row r="89" spans="1:5" x14ac:dyDescent="0.75">
      <c r="A89">
        <v>385</v>
      </c>
      <c r="B89" t="s">
        <v>443</v>
      </c>
      <c r="C89">
        <v>0</v>
      </c>
      <c r="D89" s="1">
        <v>520925</v>
      </c>
      <c r="E89" s="2">
        <v>0</v>
      </c>
    </row>
    <row r="90" spans="1:5" x14ac:dyDescent="0.75">
      <c r="A90">
        <v>512</v>
      </c>
      <c r="B90" t="s">
        <v>513</v>
      </c>
      <c r="C90">
        <v>0</v>
      </c>
      <c r="D90" s="1">
        <v>534850</v>
      </c>
      <c r="E90" s="2">
        <v>0</v>
      </c>
    </row>
    <row r="91" spans="1:5" x14ac:dyDescent="0.75">
      <c r="A91">
        <v>444</v>
      </c>
      <c r="B91" t="s">
        <v>475</v>
      </c>
      <c r="C91">
        <v>0</v>
      </c>
      <c r="D91" s="1">
        <v>543050</v>
      </c>
      <c r="E91" s="2">
        <v>0</v>
      </c>
    </row>
    <row r="92" spans="1:5" x14ac:dyDescent="0.75">
      <c r="A92">
        <v>488</v>
      </c>
      <c r="B92" t="s">
        <v>500</v>
      </c>
      <c r="C92">
        <v>0</v>
      </c>
      <c r="D92" s="1">
        <v>573575</v>
      </c>
      <c r="E92" s="2">
        <v>0</v>
      </c>
    </row>
    <row r="93" spans="1:5" x14ac:dyDescent="0.75">
      <c r="A93">
        <v>414</v>
      </c>
      <c r="B93" t="s">
        <v>458</v>
      </c>
      <c r="C93">
        <v>0</v>
      </c>
      <c r="D93" s="1">
        <v>586750</v>
      </c>
      <c r="E93" s="2">
        <v>0</v>
      </c>
    </row>
    <row r="94" spans="1:5" x14ac:dyDescent="0.75">
      <c r="A94">
        <v>482</v>
      </c>
      <c r="B94" t="s">
        <v>496</v>
      </c>
      <c r="C94">
        <v>0</v>
      </c>
      <c r="D94" s="1">
        <v>589150</v>
      </c>
      <c r="E94" s="2">
        <v>0</v>
      </c>
    </row>
    <row r="95" spans="1:5" x14ac:dyDescent="0.75">
      <c r="A95">
        <v>68</v>
      </c>
      <c r="B95" t="s">
        <v>321</v>
      </c>
      <c r="C95">
        <v>0</v>
      </c>
      <c r="D95" s="1">
        <v>592100</v>
      </c>
      <c r="E95" s="2">
        <v>0</v>
      </c>
    </row>
    <row r="96" spans="1:5" x14ac:dyDescent="0.75">
      <c r="A96">
        <v>362</v>
      </c>
      <c r="B96" t="s">
        <v>434</v>
      </c>
      <c r="C96">
        <v>0</v>
      </c>
      <c r="D96" s="1">
        <v>596900</v>
      </c>
      <c r="E96" s="2">
        <v>0</v>
      </c>
    </row>
    <row r="97" spans="1:5" x14ac:dyDescent="0.75">
      <c r="A97">
        <v>258</v>
      </c>
      <c r="B97" t="s">
        <v>385</v>
      </c>
      <c r="C97">
        <v>0</v>
      </c>
      <c r="D97" s="1">
        <v>598950</v>
      </c>
      <c r="E97" s="2">
        <v>0</v>
      </c>
    </row>
    <row r="98" spans="1:5" x14ac:dyDescent="0.75">
      <c r="A98">
        <v>377</v>
      </c>
      <c r="B98" t="s">
        <v>438</v>
      </c>
      <c r="C98">
        <v>0</v>
      </c>
      <c r="D98" s="1">
        <v>602025</v>
      </c>
      <c r="E98" s="2">
        <v>0</v>
      </c>
    </row>
    <row r="99" spans="1:5" x14ac:dyDescent="0.75">
      <c r="A99">
        <v>194</v>
      </c>
      <c r="B99" t="s">
        <v>359</v>
      </c>
      <c r="C99">
        <v>0</v>
      </c>
      <c r="D99" s="1">
        <v>608775</v>
      </c>
      <c r="E99" s="2">
        <v>0</v>
      </c>
    </row>
    <row r="100" spans="1:5" x14ac:dyDescent="0.75">
      <c r="A100">
        <v>529</v>
      </c>
      <c r="B100" t="s">
        <v>527</v>
      </c>
      <c r="C100">
        <v>0</v>
      </c>
      <c r="D100" s="1">
        <v>626550</v>
      </c>
      <c r="E100" s="2">
        <v>0</v>
      </c>
    </row>
    <row r="101" spans="1:5" x14ac:dyDescent="0.75">
      <c r="A101">
        <v>5</v>
      </c>
      <c r="B101" t="s">
        <v>313</v>
      </c>
      <c r="C101">
        <v>0</v>
      </c>
      <c r="D101" s="1">
        <v>630725</v>
      </c>
      <c r="E101" s="2">
        <v>0</v>
      </c>
    </row>
    <row r="102" spans="1:5" x14ac:dyDescent="0.75">
      <c r="A102">
        <v>349</v>
      </c>
      <c r="B102" t="s">
        <v>429</v>
      </c>
      <c r="C102">
        <v>0</v>
      </c>
      <c r="D102" s="1">
        <v>651400</v>
      </c>
      <c r="E102" s="2">
        <v>0</v>
      </c>
    </row>
    <row r="103" spans="1:5" x14ac:dyDescent="0.75">
      <c r="A103">
        <v>312</v>
      </c>
      <c r="B103" t="s">
        <v>411</v>
      </c>
      <c r="C103">
        <v>0</v>
      </c>
      <c r="D103" s="1">
        <v>729325</v>
      </c>
      <c r="E103" s="2">
        <v>0</v>
      </c>
    </row>
    <row r="104" spans="1:5" x14ac:dyDescent="0.75">
      <c r="A104">
        <v>250</v>
      </c>
      <c r="B104" t="s">
        <v>381</v>
      </c>
      <c r="C104">
        <v>0</v>
      </c>
      <c r="D104" s="1">
        <v>731975</v>
      </c>
      <c r="E104" s="2">
        <v>0</v>
      </c>
    </row>
    <row r="105" spans="1:5" x14ac:dyDescent="0.75">
      <c r="A105">
        <v>315</v>
      </c>
      <c r="B105" t="s">
        <v>413</v>
      </c>
      <c r="C105">
        <v>0</v>
      </c>
      <c r="D105" s="1">
        <v>735100</v>
      </c>
      <c r="E105" s="2">
        <v>0</v>
      </c>
    </row>
    <row r="106" spans="1:5" x14ac:dyDescent="0.75">
      <c r="A106">
        <v>372</v>
      </c>
      <c r="B106" t="s">
        <v>437</v>
      </c>
      <c r="C106">
        <v>0</v>
      </c>
      <c r="D106" s="1">
        <v>751375</v>
      </c>
      <c r="E106" s="2">
        <v>0</v>
      </c>
    </row>
    <row r="107" spans="1:5" x14ac:dyDescent="0.75">
      <c r="A107">
        <v>347</v>
      </c>
      <c r="B107" t="s">
        <v>428</v>
      </c>
      <c r="C107">
        <v>0</v>
      </c>
      <c r="D107" s="1">
        <v>777675</v>
      </c>
      <c r="E107" s="2">
        <v>0</v>
      </c>
    </row>
    <row r="108" spans="1:5" x14ac:dyDescent="0.75">
      <c r="A108">
        <v>384</v>
      </c>
      <c r="B108" t="s">
        <v>442</v>
      </c>
      <c r="C108">
        <v>0</v>
      </c>
      <c r="D108" s="1">
        <v>823900</v>
      </c>
      <c r="E108" s="2">
        <v>0</v>
      </c>
    </row>
    <row r="109" spans="1:5" x14ac:dyDescent="0.75">
      <c r="A109">
        <v>31</v>
      </c>
      <c r="B109" t="s">
        <v>317</v>
      </c>
      <c r="C109">
        <v>0</v>
      </c>
      <c r="D109" s="1">
        <v>831175</v>
      </c>
      <c r="E109" s="2">
        <v>0</v>
      </c>
    </row>
    <row r="110" spans="1:5" x14ac:dyDescent="0.75">
      <c r="A110">
        <v>264</v>
      </c>
      <c r="B110" t="s">
        <v>388</v>
      </c>
      <c r="C110">
        <v>0</v>
      </c>
      <c r="D110" s="1">
        <v>831750</v>
      </c>
      <c r="E110" s="2">
        <v>0</v>
      </c>
    </row>
    <row r="111" spans="1:5" x14ac:dyDescent="0.75">
      <c r="A111">
        <v>275</v>
      </c>
      <c r="B111" t="s">
        <v>393</v>
      </c>
      <c r="C111">
        <v>0</v>
      </c>
      <c r="D111" s="1">
        <v>876450</v>
      </c>
      <c r="E111" s="2">
        <v>0</v>
      </c>
    </row>
    <row r="112" spans="1:5" x14ac:dyDescent="0.75">
      <c r="A112">
        <v>248</v>
      </c>
      <c r="B112" t="s">
        <v>380</v>
      </c>
      <c r="C112">
        <v>0</v>
      </c>
      <c r="D112" s="1">
        <v>878000</v>
      </c>
      <c r="E112" s="2">
        <v>0</v>
      </c>
    </row>
    <row r="113" spans="1:5" x14ac:dyDescent="0.75">
      <c r="A113">
        <v>513</v>
      </c>
      <c r="B113" t="s">
        <v>514</v>
      </c>
      <c r="C113">
        <v>0</v>
      </c>
      <c r="D113" s="1">
        <v>902475</v>
      </c>
      <c r="E113" s="2">
        <v>0</v>
      </c>
    </row>
    <row r="114" spans="1:5" x14ac:dyDescent="0.75">
      <c r="A114">
        <v>130</v>
      </c>
      <c r="B114" t="s">
        <v>332</v>
      </c>
      <c r="C114">
        <v>0</v>
      </c>
      <c r="D114" s="1">
        <v>908675</v>
      </c>
      <c r="E114" s="2">
        <v>0</v>
      </c>
    </row>
    <row r="115" spans="1:5" x14ac:dyDescent="0.75">
      <c r="A115">
        <v>458</v>
      </c>
      <c r="B115" t="s">
        <v>483</v>
      </c>
      <c r="C115">
        <v>0</v>
      </c>
      <c r="D115" s="1">
        <v>940000</v>
      </c>
      <c r="E115" s="2">
        <v>0</v>
      </c>
    </row>
    <row r="116" spans="1:5" x14ac:dyDescent="0.75">
      <c r="A116">
        <v>215</v>
      </c>
      <c r="B116" t="s">
        <v>367</v>
      </c>
      <c r="C116">
        <v>0</v>
      </c>
      <c r="D116" s="1">
        <v>966050</v>
      </c>
      <c r="E116" s="2">
        <v>0</v>
      </c>
    </row>
    <row r="117" spans="1:5" x14ac:dyDescent="0.75">
      <c r="A117">
        <v>518</v>
      </c>
      <c r="B117" t="s">
        <v>517</v>
      </c>
      <c r="C117">
        <v>0</v>
      </c>
      <c r="D117" s="1">
        <v>983900</v>
      </c>
      <c r="E117" s="2">
        <v>0</v>
      </c>
    </row>
    <row r="118" spans="1:5" x14ac:dyDescent="0.75">
      <c r="A118">
        <v>519</v>
      </c>
      <c r="B118" t="s">
        <v>518</v>
      </c>
      <c r="C118">
        <v>0</v>
      </c>
      <c r="D118" s="1">
        <v>999450</v>
      </c>
      <c r="E118" s="2">
        <v>0</v>
      </c>
    </row>
    <row r="119" spans="1:5" x14ac:dyDescent="0.75">
      <c r="A119">
        <v>564</v>
      </c>
      <c r="B119" t="s">
        <v>553</v>
      </c>
      <c r="C119">
        <v>0</v>
      </c>
      <c r="D119" s="1">
        <v>1015075</v>
      </c>
      <c r="E119" s="2">
        <v>0</v>
      </c>
    </row>
    <row r="120" spans="1:5" x14ac:dyDescent="0.75">
      <c r="A120">
        <v>358</v>
      </c>
      <c r="B120" t="s">
        <v>432</v>
      </c>
      <c r="C120">
        <v>0</v>
      </c>
      <c r="D120" s="1">
        <v>1034200</v>
      </c>
      <c r="E120" s="2">
        <v>0</v>
      </c>
    </row>
    <row r="121" spans="1:5" x14ac:dyDescent="0.75">
      <c r="A121">
        <v>486</v>
      </c>
      <c r="B121" t="s">
        <v>498</v>
      </c>
      <c r="C121">
        <v>0</v>
      </c>
      <c r="D121" s="1">
        <v>1103025</v>
      </c>
      <c r="E121" s="2">
        <v>0</v>
      </c>
    </row>
    <row r="122" spans="1:5" x14ac:dyDescent="0.75">
      <c r="A122">
        <v>333</v>
      </c>
      <c r="B122" t="s">
        <v>421</v>
      </c>
      <c r="C122">
        <v>0</v>
      </c>
      <c r="D122" s="1">
        <v>1113300</v>
      </c>
      <c r="E122" s="2">
        <v>0</v>
      </c>
    </row>
    <row r="123" spans="1:5" x14ac:dyDescent="0.75">
      <c r="A123">
        <v>3</v>
      </c>
      <c r="B123" t="s">
        <v>312</v>
      </c>
      <c r="C123">
        <v>0</v>
      </c>
      <c r="D123" s="1">
        <v>1120200</v>
      </c>
      <c r="E123" s="2">
        <v>0</v>
      </c>
    </row>
    <row r="124" spans="1:5" x14ac:dyDescent="0.75">
      <c r="A124">
        <v>531</v>
      </c>
      <c r="B124" t="s">
        <v>529</v>
      </c>
      <c r="C124">
        <v>0</v>
      </c>
      <c r="D124" s="1">
        <v>1137450</v>
      </c>
      <c r="E124" s="2">
        <v>0</v>
      </c>
    </row>
    <row r="125" spans="1:5" x14ac:dyDescent="0.75">
      <c r="A125">
        <v>567</v>
      </c>
      <c r="B125" t="s">
        <v>555</v>
      </c>
      <c r="C125">
        <v>0</v>
      </c>
      <c r="D125" s="1">
        <v>1145600</v>
      </c>
      <c r="E125" s="2">
        <v>0</v>
      </c>
    </row>
    <row r="126" spans="1:5" x14ac:dyDescent="0.75">
      <c r="A126">
        <v>417</v>
      </c>
      <c r="B126" t="s">
        <v>460</v>
      </c>
      <c r="C126">
        <v>0</v>
      </c>
      <c r="D126" s="1">
        <v>1198825</v>
      </c>
      <c r="E126" s="2">
        <v>0</v>
      </c>
    </row>
    <row r="127" spans="1:5" x14ac:dyDescent="0.75">
      <c r="A127">
        <v>423</v>
      </c>
      <c r="B127" t="s">
        <v>464</v>
      </c>
      <c r="C127">
        <v>0</v>
      </c>
      <c r="D127" s="1">
        <v>1243350</v>
      </c>
      <c r="E127" s="2">
        <v>0</v>
      </c>
    </row>
    <row r="128" spans="1:5" x14ac:dyDescent="0.75">
      <c r="A128">
        <v>551</v>
      </c>
      <c r="B128" t="s">
        <v>544</v>
      </c>
      <c r="C128">
        <v>0</v>
      </c>
      <c r="D128" s="1">
        <v>1246725</v>
      </c>
      <c r="E128" s="2">
        <v>0</v>
      </c>
    </row>
    <row r="129" spans="1:5" x14ac:dyDescent="0.75">
      <c r="A129">
        <v>520</v>
      </c>
      <c r="B129" t="s">
        <v>519</v>
      </c>
      <c r="C129">
        <v>0</v>
      </c>
      <c r="D129" s="1">
        <v>1313950</v>
      </c>
      <c r="E129" s="2">
        <v>0</v>
      </c>
    </row>
    <row r="130" spans="1:5" x14ac:dyDescent="0.75">
      <c r="A130">
        <v>511</v>
      </c>
      <c r="B130" t="s">
        <v>512</v>
      </c>
      <c r="C130">
        <v>0</v>
      </c>
      <c r="D130" s="1">
        <v>1335025</v>
      </c>
      <c r="E130" s="2">
        <v>0</v>
      </c>
    </row>
    <row r="131" spans="1:5" x14ac:dyDescent="0.75">
      <c r="A131">
        <v>420</v>
      </c>
      <c r="B131" t="s">
        <v>462</v>
      </c>
      <c r="C131">
        <v>0</v>
      </c>
      <c r="D131" s="1">
        <v>1338175</v>
      </c>
      <c r="E131" s="2">
        <v>0</v>
      </c>
    </row>
    <row r="132" spans="1:5" x14ac:dyDescent="0.75">
      <c r="A132">
        <v>191</v>
      </c>
      <c r="B132" t="s">
        <v>356</v>
      </c>
      <c r="C132">
        <v>0</v>
      </c>
      <c r="D132" s="1">
        <v>1375900</v>
      </c>
      <c r="E132" s="2">
        <v>0</v>
      </c>
    </row>
    <row r="133" spans="1:5" x14ac:dyDescent="0.75">
      <c r="A133">
        <v>137</v>
      </c>
      <c r="B133" t="s">
        <v>334</v>
      </c>
      <c r="C133">
        <v>0</v>
      </c>
      <c r="D133" s="1">
        <v>1402700</v>
      </c>
      <c r="E133" s="2">
        <v>0</v>
      </c>
    </row>
    <row r="134" spans="1:5" x14ac:dyDescent="0.75">
      <c r="A134">
        <v>497</v>
      </c>
      <c r="B134" t="s">
        <v>505</v>
      </c>
      <c r="C134">
        <v>0</v>
      </c>
      <c r="D134" s="1">
        <v>1428100</v>
      </c>
      <c r="E134" s="2">
        <v>0</v>
      </c>
    </row>
    <row r="135" spans="1:5" x14ac:dyDescent="0.75">
      <c r="A135">
        <v>133</v>
      </c>
      <c r="B135" t="s">
        <v>333</v>
      </c>
      <c r="C135">
        <v>0</v>
      </c>
      <c r="D135" s="1">
        <v>1477000</v>
      </c>
      <c r="E135" s="2">
        <v>0</v>
      </c>
    </row>
    <row r="136" spans="1:5" x14ac:dyDescent="0.75">
      <c r="A136">
        <v>397</v>
      </c>
      <c r="B136" t="s">
        <v>448</v>
      </c>
      <c r="C136">
        <v>0</v>
      </c>
      <c r="D136" s="1">
        <v>1504675</v>
      </c>
      <c r="E136" s="2">
        <v>0</v>
      </c>
    </row>
    <row r="137" spans="1:5" x14ac:dyDescent="0.75">
      <c r="A137">
        <v>232</v>
      </c>
      <c r="B137" t="s">
        <v>376</v>
      </c>
      <c r="C137">
        <v>0</v>
      </c>
      <c r="D137" s="1">
        <v>1551025</v>
      </c>
      <c r="E137" s="2">
        <v>0</v>
      </c>
    </row>
    <row r="138" spans="1:5" x14ac:dyDescent="0.75">
      <c r="A138">
        <v>410</v>
      </c>
      <c r="B138" t="s">
        <v>456</v>
      </c>
      <c r="C138">
        <v>0</v>
      </c>
      <c r="D138" s="1">
        <v>1615075</v>
      </c>
      <c r="E138" s="2">
        <v>0</v>
      </c>
    </row>
    <row r="139" spans="1:5" x14ac:dyDescent="0.75">
      <c r="A139">
        <v>504</v>
      </c>
      <c r="B139" t="s">
        <v>508</v>
      </c>
      <c r="C139">
        <v>0</v>
      </c>
      <c r="D139" s="1">
        <v>1626275</v>
      </c>
      <c r="E139" s="2">
        <v>0</v>
      </c>
    </row>
    <row r="140" spans="1:5" x14ac:dyDescent="0.75">
      <c r="A140">
        <v>288</v>
      </c>
      <c r="B140" t="s">
        <v>398</v>
      </c>
      <c r="C140">
        <v>0</v>
      </c>
      <c r="D140" s="1">
        <v>1689625</v>
      </c>
      <c r="E140" s="2">
        <v>0</v>
      </c>
    </row>
    <row r="141" spans="1:5" x14ac:dyDescent="0.75">
      <c r="A141">
        <v>467</v>
      </c>
      <c r="B141" t="s">
        <v>487</v>
      </c>
      <c r="C141">
        <v>0</v>
      </c>
      <c r="D141" s="1">
        <v>1699125</v>
      </c>
      <c r="E141" s="2">
        <v>0</v>
      </c>
    </row>
    <row r="142" spans="1:5" x14ac:dyDescent="0.75">
      <c r="A142">
        <v>277</v>
      </c>
      <c r="B142" t="s">
        <v>394</v>
      </c>
      <c r="C142">
        <v>0</v>
      </c>
      <c r="D142" s="1">
        <v>1705000</v>
      </c>
      <c r="E142" s="2">
        <v>0</v>
      </c>
    </row>
    <row r="143" spans="1:5" x14ac:dyDescent="0.75">
      <c r="A143">
        <v>454</v>
      </c>
      <c r="B143" t="s">
        <v>480</v>
      </c>
      <c r="C143">
        <v>0</v>
      </c>
      <c r="D143" s="1">
        <v>1725900</v>
      </c>
      <c r="E143" s="2">
        <v>0</v>
      </c>
    </row>
    <row r="144" spans="1:5" x14ac:dyDescent="0.75">
      <c r="A144">
        <v>552</v>
      </c>
      <c r="B144" t="s">
        <v>545</v>
      </c>
      <c r="C144">
        <v>0</v>
      </c>
      <c r="D144" s="1">
        <v>1778600</v>
      </c>
      <c r="E144" s="2">
        <v>0</v>
      </c>
    </row>
    <row r="145" spans="1:5" x14ac:dyDescent="0.75">
      <c r="A145">
        <v>555</v>
      </c>
      <c r="B145" t="s">
        <v>547</v>
      </c>
      <c r="C145">
        <v>0</v>
      </c>
      <c r="D145" s="1">
        <v>1799775</v>
      </c>
      <c r="E145" s="2">
        <v>0</v>
      </c>
    </row>
    <row r="146" spans="1:5" x14ac:dyDescent="0.75">
      <c r="A146">
        <v>363</v>
      </c>
      <c r="B146" t="s">
        <v>435</v>
      </c>
      <c r="C146">
        <v>0</v>
      </c>
      <c r="D146" s="1">
        <v>1801225</v>
      </c>
      <c r="E146" s="2">
        <v>0</v>
      </c>
    </row>
    <row r="147" spans="1:5" x14ac:dyDescent="0.75">
      <c r="A147">
        <v>547</v>
      </c>
      <c r="B147" t="s">
        <v>541</v>
      </c>
      <c r="C147">
        <v>0</v>
      </c>
      <c r="D147" s="1">
        <v>1817700</v>
      </c>
      <c r="E147" s="2">
        <v>0</v>
      </c>
    </row>
    <row r="148" spans="1:5" x14ac:dyDescent="0.75">
      <c r="A148">
        <v>144</v>
      </c>
      <c r="B148" t="s">
        <v>337</v>
      </c>
      <c r="C148">
        <v>0</v>
      </c>
      <c r="D148" s="1">
        <v>1820825</v>
      </c>
      <c r="E148" s="2">
        <v>0</v>
      </c>
    </row>
    <row r="149" spans="1:5" x14ac:dyDescent="0.75">
      <c r="A149">
        <v>116</v>
      </c>
      <c r="B149" t="s">
        <v>329</v>
      </c>
      <c r="C149">
        <v>0</v>
      </c>
      <c r="D149" s="1">
        <v>1830375</v>
      </c>
      <c r="E149" s="2">
        <v>0</v>
      </c>
    </row>
    <row r="150" spans="1:5" x14ac:dyDescent="0.75">
      <c r="A150">
        <v>354</v>
      </c>
      <c r="B150" t="s">
        <v>431</v>
      </c>
      <c r="C150">
        <v>0</v>
      </c>
      <c r="D150" s="1">
        <v>1839000</v>
      </c>
      <c r="E150" s="2">
        <v>0</v>
      </c>
    </row>
    <row r="151" spans="1:5" x14ac:dyDescent="0.75">
      <c r="A151">
        <v>461</v>
      </c>
      <c r="B151" t="s">
        <v>485</v>
      </c>
      <c r="C151">
        <v>0</v>
      </c>
      <c r="D151" s="1">
        <v>1853125</v>
      </c>
      <c r="E151" s="2">
        <v>0</v>
      </c>
    </row>
    <row r="152" spans="1:5" x14ac:dyDescent="0.75">
      <c r="A152">
        <v>223</v>
      </c>
      <c r="B152" t="s">
        <v>372</v>
      </c>
      <c r="C152">
        <v>0</v>
      </c>
      <c r="D152" s="1">
        <v>1863800</v>
      </c>
      <c r="E152" s="2">
        <v>0</v>
      </c>
    </row>
    <row r="153" spans="1:5" x14ac:dyDescent="0.75">
      <c r="A153">
        <v>408</v>
      </c>
      <c r="B153" t="s">
        <v>454</v>
      </c>
      <c r="C153">
        <v>0</v>
      </c>
      <c r="D153" s="1">
        <v>1883800</v>
      </c>
      <c r="E153" s="2">
        <v>0</v>
      </c>
    </row>
    <row r="154" spans="1:5" x14ac:dyDescent="0.75">
      <c r="A154">
        <v>262</v>
      </c>
      <c r="B154" t="s">
        <v>387</v>
      </c>
      <c r="C154">
        <v>0</v>
      </c>
      <c r="D154" s="1">
        <v>1920625</v>
      </c>
      <c r="E154" s="2">
        <v>0</v>
      </c>
    </row>
    <row r="155" spans="1:5" x14ac:dyDescent="0.75">
      <c r="A155">
        <v>476</v>
      </c>
      <c r="B155" t="s">
        <v>491</v>
      </c>
      <c r="C155">
        <v>0</v>
      </c>
      <c r="D155" s="1">
        <v>1948750</v>
      </c>
      <c r="E155" s="2">
        <v>0</v>
      </c>
    </row>
    <row r="156" spans="1:5" x14ac:dyDescent="0.75">
      <c r="A156">
        <v>265</v>
      </c>
      <c r="B156" t="s">
        <v>389</v>
      </c>
      <c r="C156">
        <v>0</v>
      </c>
      <c r="D156" s="1">
        <v>2028675</v>
      </c>
      <c r="E156" s="2">
        <v>0</v>
      </c>
    </row>
    <row r="157" spans="1:5" x14ac:dyDescent="0.75">
      <c r="A157">
        <v>345</v>
      </c>
      <c r="B157" t="s">
        <v>426</v>
      </c>
      <c r="C157">
        <v>0</v>
      </c>
      <c r="D157" s="1">
        <v>2028725</v>
      </c>
      <c r="E157" s="2">
        <v>0</v>
      </c>
    </row>
    <row r="158" spans="1:5" x14ac:dyDescent="0.75">
      <c r="A158">
        <v>216</v>
      </c>
      <c r="B158" t="s">
        <v>368</v>
      </c>
      <c r="C158">
        <v>0</v>
      </c>
      <c r="D158" s="1">
        <v>2035275</v>
      </c>
      <c r="E158" s="2">
        <v>0</v>
      </c>
    </row>
    <row r="159" spans="1:5" x14ac:dyDescent="0.75">
      <c r="A159">
        <v>581</v>
      </c>
      <c r="B159" t="s">
        <v>567</v>
      </c>
      <c r="C159">
        <v>0</v>
      </c>
      <c r="D159" s="1">
        <v>2071025</v>
      </c>
      <c r="E159" s="2">
        <v>0</v>
      </c>
    </row>
    <row r="160" spans="1:5" x14ac:dyDescent="0.75">
      <c r="A160">
        <v>154</v>
      </c>
      <c r="B160" t="s">
        <v>341</v>
      </c>
      <c r="C160">
        <v>0</v>
      </c>
      <c r="D160" s="1">
        <v>2071875</v>
      </c>
      <c r="E160" s="2">
        <v>0</v>
      </c>
    </row>
    <row r="161" spans="1:5" x14ac:dyDescent="0.75">
      <c r="A161">
        <v>229</v>
      </c>
      <c r="B161" t="s">
        <v>373</v>
      </c>
      <c r="C161">
        <v>0</v>
      </c>
      <c r="D161" s="1">
        <v>2117325</v>
      </c>
      <c r="E161" s="2">
        <v>0</v>
      </c>
    </row>
    <row r="162" spans="1:5" x14ac:dyDescent="0.75">
      <c r="A162">
        <v>339</v>
      </c>
      <c r="B162" t="s">
        <v>423</v>
      </c>
      <c r="C162">
        <v>0</v>
      </c>
      <c r="D162" s="1">
        <v>2171275</v>
      </c>
      <c r="E162" s="2">
        <v>0</v>
      </c>
    </row>
    <row r="163" spans="1:5" x14ac:dyDescent="0.75">
      <c r="A163">
        <v>433</v>
      </c>
      <c r="B163" t="s">
        <v>471</v>
      </c>
      <c r="C163">
        <v>0</v>
      </c>
      <c r="D163" s="1">
        <v>2207925</v>
      </c>
      <c r="E163" s="2">
        <v>0</v>
      </c>
    </row>
    <row r="164" spans="1:5" x14ac:dyDescent="0.75">
      <c r="A164">
        <v>396</v>
      </c>
      <c r="B164" t="s">
        <v>447</v>
      </c>
      <c r="C164">
        <v>0</v>
      </c>
      <c r="D164" s="1">
        <v>2256000</v>
      </c>
      <c r="E164" s="2">
        <v>0</v>
      </c>
    </row>
    <row r="165" spans="1:5" x14ac:dyDescent="0.75">
      <c r="A165">
        <v>66</v>
      </c>
      <c r="B165" t="s">
        <v>319</v>
      </c>
      <c r="C165">
        <v>0</v>
      </c>
      <c r="D165" s="1">
        <v>2272075</v>
      </c>
      <c r="E165" s="2">
        <v>0</v>
      </c>
    </row>
    <row r="166" spans="1:5" x14ac:dyDescent="0.75">
      <c r="A166">
        <v>206</v>
      </c>
      <c r="B166" t="s">
        <v>363</v>
      </c>
      <c r="C166">
        <v>0</v>
      </c>
      <c r="D166" s="1">
        <v>2293750</v>
      </c>
      <c r="E166" s="2">
        <v>0</v>
      </c>
    </row>
    <row r="167" spans="1:5" x14ac:dyDescent="0.75">
      <c r="A167">
        <v>192</v>
      </c>
      <c r="B167" t="s">
        <v>357</v>
      </c>
      <c r="C167">
        <v>0</v>
      </c>
      <c r="D167" s="1">
        <v>2339700</v>
      </c>
      <c r="E167" s="2">
        <v>0</v>
      </c>
    </row>
    <row r="168" spans="1:5" x14ac:dyDescent="0.75">
      <c r="A168">
        <v>176</v>
      </c>
      <c r="B168" t="s">
        <v>350</v>
      </c>
      <c r="C168">
        <v>0</v>
      </c>
      <c r="D168" s="1">
        <v>2340800</v>
      </c>
      <c r="E168" s="2">
        <v>0</v>
      </c>
    </row>
    <row r="169" spans="1:5" x14ac:dyDescent="0.75">
      <c r="A169">
        <v>182</v>
      </c>
      <c r="B169" t="s">
        <v>353</v>
      </c>
      <c r="C169">
        <v>0</v>
      </c>
      <c r="D169" s="1">
        <v>2408850</v>
      </c>
      <c r="E169" s="2">
        <v>0</v>
      </c>
    </row>
    <row r="170" spans="1:5" x14ac:dyDescent="0.75">
      <c r="A170">
        <v>495</v>
      </c>
      <c r="B170" t="s">
        <v>503</v>
      </c>
      <c r="C170">
        <v>0</v>
      </c>
      <c r="D170" s="1">
        <v>2459125</v>
      </c>
      <c r="E170" s="2">
        <v>0</v>
      </c>
    </row>
    <row r="171" spans="1:5" x14ac:dyDescent="0.75">
      <c r="A171">
        <v>177</v>
      </c>
      <c r="B171" t="s">
        <v>351</v>
      </c>
      <c r="C171">
        <v>0</v>
      </c>
      <c r="D171" s="1">
        <v>2526800</v>
      </c>
      <c r="E171" s="2">
        <v>0</v>
      </c>
    </row>
    <row r="172" spans="1:5" x14ac:dyDescent="0.75">
      <c r="A172">
        <v>309</v>
      </c>
      <c r="B172" t="s">
        <v>408</v>
      </c>
      <c r="C172">
        <v>0</v>
      </c>
      <c r="D172" s="1">
        <v>2535550</v>
      </c>
      <c r="E172" s="2">
        <v>0</v>
      </c>
    </row>
    <row r="173" spans="1:5" x14ac:dyDescent="0.75">
      <c r="A173">
        <v>371</v>
      </c>
      <c r="B173" t="s">
        <v>436</v>
      </c>
      <c r="C173">
        <v>0</v>
      </c>
      <c r="D173" s="1">
        <v>2614800</v>
      </c>
      <c r="E173" s="2">
        <v>0</v>
      </c>
    </row>
    <row r="174" spans="1:5" x14ac:dyDescent="0.75">
      <c r="A174">
        <v>548</v>
      </c>
      <c r="B174" t="s">
        <v>542</v>
      </c>
      <c r="C174">
        <v>0</v>
      </c>
      <c r="D174" s="1">
        <v>2642375</v>
      </c>
      <c r="E174" s="2">
        <v>0</v>
      </c>
    </row>
    <row r="175" spans="1:5" x14ac:dyDescent="0.75">
      <c r="A175">
        <v>404</v>
      </c>
      <c r="B175" t="s">
        <v>453</v>
      </c>
      <c r="C175">
        <v>0</v>
      </c>
      <c r="D175" s="1">
        <v>2737225</v>
      </c>
      <c r="E175" s="2">
        <v>0</v>
      </c>
    </row>
    <row r="176" spans="1:5" x14ac:dyDescent="0.75">
      <c r="A176">
        <v>124</v>
      </c>
      <c r="B176" t="s">
        <v>331</v>
      </c>
      <c r="C176">
        <v>0</v>
      </c>
      <c r="D176" s="1">
        <v>2778825</v>
      </c>
      <c r="E176" s="2">
        <v>0</v>
      </c>
    </row>
    <row r="177" spans="1:5" x14ac:dyDescent="0.75">
      <c r="A177">
        <v>298</v>
      </c>
      <c r="B177" t="s">
        <v>404</v>
      </c>
      <c r="C177">
        <v>0</v>
      </c>
      <c r="D177" s="1">
        <v>2795575</v>
      </c>
      <c r="E177" s="2">
        <v>0</v>
      </c>
    </row>
    <row r="178" spans="1:5" x14ac:dyDescent="0.75">
      <c r="A178">
        <v>580</v>
      </c>
      <c r="B178" t="s">
        <v>566</v>
      </c>
      <c r="C178">
        <v>0</v>
      </c>
      <c r="D178" s="1">
        <v>2862125</v>
      </c>
      <c r="E178" s="2">
        <v>0</v>
      </c>
    </row>
    <row r="179" spans="1:5" x14ac:dyDescent="0.75">
      <c r="A179">
        <v>161</v>
      </c>
      <c r="B179" t="s">
        <v>344</v>
      </c>
      <c r="C179">
        <v>0</v>
      </c>
      <c r="D179" s="1">
        <v>2982300</v>
      </c>
      <c r="E179" s="2">
        <v>0</v>
      </c>
    </row>
    <row r="180" spans="1:5" x14ac:dyDescent="0.75">
      <c r="A180">
        <v>67</v>
      </c>
      <c r="B180" t="s">
        <v>320</v>
      </c>
      <c r="C180">
        <v>0</v>
      </c>
      <c r="D180" s="1">
        <v>2988850</v>
      </c>
      <c r="E180" s="2">
        <v>0</v>
      </c>
    </row>
    <row r="181" spans="1:5" x14ac:dyDescent="0.75">
      <c r="A181">
        <v>553</v>
      </c>
      <c r="B181" t="s">
        <v>546</v>
      </c>
      <c r="C181">
        <v>0</v>
      </c>
      <c r="D181" s="1">
        <v>3057100</v>
      </c>
      <c r="E181" s="2">
        <v>0</v>
      </c>
    </row>
    <row r="182" spans="1:5" x14ac:dyDescent="0.75">
      <c r="A182">
        <v>494</v>
      </c>
      <c r="B182" t="s">
        <v>502</v>
      </c>
      <c r="C182">
        <v>0</v>
      </c>
      <c r="D182" s="1">
        <v>3225550</v>
      </c>
      <c r="E182" s="2">
        <v>0</v>
      </c>
    </row>
    <row r="183" spans="1:5" x14ac:dyDescent="0.75">
      <c r="A183">
        <v>203</v>
      </c>
      <c r="B183" t="s">
        <v>362</v>
      </c>
      <c r="C183">
        <v>0</v>
      </c>
      <c r="D183" s="1">
        <v>3283075</v>
      </c>
      <c r="E183" s="2">
        <v>0</v>
      </c>
    </row>
    <row r="184" spans="1:5" x14ac:dyDescent="0.75">
      <c r="A184">
        <v>429</v>
      </c>
      <c r="B184" t="s">
        <v>468</v>
      </c>
      <c r="C184">
        <v>0</v>
      </c>
      <c r="D184" s="1">
        <v>3366400</v>
      </c>
      <c r="E184" s="2">
        <v>0</v>
      </c>
    </row>
    <row r="185" spans="1:5" x14ac:dyDescent="0.75">
      <c r="A185">
        <v>119</v>
      </c>
      <c r="B185" t="s">
        <v>330</v>
      </c>
      <c r="C185">
        <v>0</v>
      </c>
      <c r="D185" s="1">
        <v>3430175</v>
      </c>
      <c r="E185" s="2">
        <v>0</v>
      </c>
    </row>
    <row r="186" spans="1:5" x14ac:dyDescent="0.75">
      <c r="A186">
        <v>432</v>
      </c>
      <c r="B186" t="s">
        <v>470</v>
      </c>
      <c r="C186">
        <v>0</v>
      </c>
      <c r="D186" s="1">
        <v>3531200</v>
      </c>
      <c r="E186" s="2">
        <v>0</v>
      </c>
    </row>
    <row r="187" spans="1:5" x14ac:dyDescent="0.75">
      <c r="A187">
        <v>503</v>
      </c>
      <c r="B187" t="s">
        <v>507</v>
      </c>
      <c r="C187">
        <v>0</v>
      </c>
      <c r="D187" s="1">
        <v>3540675</v>
      </c>
      <c r="E187" s="2">
        <v>0</v>
      </c>
    </row>
    <row r="188" spans="1:5" x14ac:dyDescent="0.75">
      <c r="A188">
        <v>180</v>
      </c>
      <c r="B188" t="s">
        <v>352</v>
      </c>
      <c r="C188">
        <v>0</v>
      </c>
      <c r="D188" s="1">
        <v>3631550</v>
      </c>
      <c r="E188" s="2">
        <v>0</v>
      </c>
    </row>
    <row r="189" spans="1:5" x14ac:dyDescent="0.75">
      <c r="A189">
        <v>509</v>
      </c>
      <c r="B189" t="s">
        <v>511</v>
      </c>
      <c r="C189">
        <v>0</v>
      </c>
      <c r="D189" s="1">
        <v>3853825</v>
      </c>
      <c r="E189" s="2">
        <v>0</v>
      </c>
    </row>
    <row r="190" spans="1:5" x14ac:dyDescent="0.75">
      <c r="A190">
        <v>478</v>
      </c>
      <c r="B190" t="s">
        <v>493</v>
      </c>
      <c r="C190">
        <v>0</v>
      </c>
      <c r="D190" s="1">
        <v>3856025</v>
      </c>
      <c r="E190" s="2">
        <v>0</v>
      </c>
    </row>
    <row r="191" spans="1:5" x14ac:dyDescent="0.75">
      <c r="A191">
        <v>424</v>
      </c>
      <c r="B191" t="s">
        <v>465</v>
      </c>
      <c r="C191">
        <v>0</v>
      </c>
      <c r="D191" s="1">
        <v>3870250</v>
      </c>
      <c r="E191" s="2">
        <v>0</v>
      </c>
    </row>
    <row r="192" spans="1:5" x14ac:dyDescent="0.75">
      <c r="A192">
        <v>219</v>
      </c>
      <c r="B192" t="s">
        <v>369</v>
      </c>
      <c r="C192">
        <v>0</v>
      </c>
      <c r="D192" s="1">
        <v>3936650</v>
      </c>
      <c r="E192" s="2">
        <v>0</v>
      </c>
    </row>
    <row r="193" spans="1:5" x14ac:dyDescent="0.75">
      <c r="A193">
        <v>496</v>
      </c>
      <c r="B193" t="s">
        <v>504</v>
      </c>
      <c r="C193">
        <v>0</v>
      </c>
      <c r="D193" s="1">
        <v>4054000</v>
      </c>
      <c r="E193" s="2">
        <v>0</v>
      </c>
    </row>
    <row r="194" spans="1:5" x14ac:dyDescent="0.75">
      <c r="A194">
        <v>381</v>
      </c>
      <c r="B194" t="s">
        <v>440</v>
      </c>
      <c r="C194">
        <v>0</v>
      </c>
      <c r="D194" s="1">
        <v>4234375</v>
      </c>
      <c r="E194" s="2">
        <v>0</v>
      </c>
    </row>
    <row r="195" spans="1:5" x14ac:dyDescent="0.75">
      <c r="A195">
        <v>311</v>
      </c>
      <c r="B195" t="s">
        <v>410</v>
      </c>
      <c r="C195">
        <v>0</v>
      </c>
      <c r="D195" s="1">
        <v>4245125</v>
      </c>
      <c r="E195" s="2">
        <v>0</v>
      </c>
    </row>
    <row r="196" spans="1:5" x14ac:dyDescent="0.75">
      <c r="A196">
        <v>361</v>
      </c>
      <c r="B196" t="s">
        <v>433</v>
      </c>
      <c r="C196">
        <v>0</v>
      </c>
      <c r="D196" s="1">
        <v>4282900</v>
      </c>
      <c r="E196" s="2">
        <v>0</v>
      </c>
    </row>
    <row r="197" spans="1:5" x14ac:dyDescent="0.75">
      <c r="A197">
        <v>14</v>
      </c>
      <c r="B197" t="s">
        <v>315</v>
      </c>
      <c r="C197">
        <v>0</v>
      </c>
      <c r="D197" s="1">
        <v>4658150</v>
      </c>
      <c r="E197" s="2">
        <v>0</v>
      </c>
    </row>
    <row r="198" spans="1:5" x14ac:dyDescent="0.75">
      <c r="A198">
        <v>221</v>
      </c>
      <c r="B198" t="s">
        <v>370</v>
      </c>
      <c r="C198">
        <v>0</v>
      </c>
      <c r="D198" s="1">
        <v>4674425</v>
      </c>
      <c r="E198" s="2">
        <v>0</v>
      </c>
    </row>
    <row r="199" spans="1:5" x14ac:dyDescent="0.75">
      <c r="A199">
        <v>183</v>
      </c>
      <c r="B199" t="s">
        <v>354</v>
      </c>
      <c r="C199">
        <v>0</v>
      </c>
      <c r="D199" s="1">
        <v>4765400</v>
      </c>
      <c r="E199" s="2">
        <v>0</v>
      </c>
    </row>
    <row r="200" spans="1:5" x14ac:dyDescent="0.75">
      <c r="A200">
        <v>279</v>
      </c>
      <c r="B200" t="s">
        <v>396</v>
      </c>
      <c r="C200">
        <v>0</v>
      </c>
      <c r="D200" s="1">
        <v>4785825</v>
      </c>
      <c r="E200" s="2">
        <v>0</v>
      </c>
    </row>
    <row r="201" spans="1:5" x14ac:dyDescent="0.75">
      <c r="A201">
        <v>550</v>
      </c>
      <c r="B201" t="s">
        <v>543</v>
      </c>
      <c r="C201">
        <v>0</v>
      </c>
      <c r="D201" s="1">
        <v>4811875</v>
      </c>
      <c r="E201" s="2">
        <v>0</v>
      </c>
    </row>
    <row r="202" spans="1:5" x14ac:dyDescent="0.75">
      <c r="A202">
        <v>175</v>
      </c>
      <c r="B202" t="s">
        <v>349</v>
      </c>
      <c r="C202">
        <v>0</v>
      </c>
      <c r="D202" s="1">
        <v>5131650</v>
      </c>
      <c r="E202" s="2">
        <v>0</v>
      </c>
    </row>
    <row r="203" spans="1:5" x14ac:dyDescent="0.75">
      <c r="A203">
        <v>222</v>
      </c>
      <c r="B203" t="s">
        <v>371</v>
      </c>
      <c r="C203">
        <v>0</v>
      </c>
      <c r="D203" s="1">
        <v>5535975</v>
      </c>
      <c r="E203" s="2">
        <v>0</v>
      </c>
    </row>
    <row r="204" spans="1:5" x14ac:dyDescent="0.75">
      <c r="A204">
        <v>252</v>
      </c>
      <c r="B204" t="s">
        <v>383</v>
      </c>
      <c r="C204">
        <v>0</v>
      </c>
      <c r="D204" s="1">
        <v>6178700</v>
      </c>
      <c r="E204" s="2">
        <v>0</v>
      </c>
    </row>
    <row r="205" spans="1:5" x14ac:dyDescent="0.75">
      <c r="A205">
        <v>168</v>
      </c>
      <c r="B205" t="s">
        <v>346</v>
      </c>
      <c r="C205">
        <v>0</v>
      </c>
      <c r="D205" s="1">
        <v>6427700</v>
      </c>
      <c r="E205" s="2">
        <v>0</v>
      </c>
    </row>
    <row r="206" spans="1:5" x14ac:dyDescent="0.75">
      <c r="A206">
        <v>489</v>
      </c>
      <c r="B206" t="s">
        <v>501</v>
      </c>
      <c r="C206">
        <v>0</v>
      </c>
      <c r="D206" s="1">
        <v>6480050</v>
      </c>
      <c r="E206" s="2">
        <v>0</v>
      </c>
    </row>
    <row r="207" spans="1:5" x14ac:dyDescent="0.75">
      <c r="A207">
        <v>440</v>
      </c>
      <c r="B207" t="s">
        <v>474</v>
      </c>
      <c r="C207">
        <v>0</v>
      </c>
      <c r="D207" s="1">
        <v>6575250</v>
      </c>
      <c r="E207" s="2">
        <v>0</v>
      </c>
    </row>
    <row r="208" spans="1:5" x14ac:dyDescent="0.75">
      <c r="A208">
        <v>50</v>
      </c>
      <c r="B208" t="s">
        <v>318</v>
      </c>
      <c r="C208">
        <v>0</v>
      </c>
      <c r="D208" s="1">
        <v>6698450</v>
      </c>
      <c r="E208" s="2">
        <v>0</v>
      </c>
    </row>
    <row r="209" spans="1:5" x14ac:dyDescent="0.75">
      <c r="A209">
        <v>299</v>
      </c>
      <c r="B209" t="s">
        <v>405</v>
      </c>
      <c r="C209">
        <v>0</v>
      </c>
      <c r="D209" s="1">
        <v>6707425</v>
      </c>
      <c r="E209" s="2">
        <v>0</v>
      </c>
    </row>
    <row r="210" spans="1:5" x14ac:dyDescent="0.75">
      <c r="A210">
        <v>546</v>
      </c>
      <c r="B210" t="s">
        <v>540</v>
      </c>
      <c r="C210">
        <v>0</v>
      </c>
      <c r="D210" s="1">
        <v>6709050</v>
      </c>
      <c r="E210" s="2">
        <v>0</v>
      </c>
    </row>
    <row r="211" spans="1:5" x14ac:dyDescent="0.75">
      <c r="A211">
        <v>403</v>
      </c>
      <c r="B211" t="s">
        <v>452</v>
      </c>
      <c r="C211">
        <v>0</v>
      </c>
      <c r="D211" s="1">
        <v>6977100</v>
      </c>
      <c r="E211" s="2">
        <v>0</v>
      </c>
    </row>
    <row r="212" spans="1:5" x14ac:dyDescent="0.75">
      <c r="A212">
        <v>167</v>
      </c>
      <c r="B212" t="s">
        <v>345</v>
      </c>
      <c r="C212">
        <v>0</v>
      </c>
      <c r="D212" s="1">
        <v>7365575</v>
      </c>
      <c r="E212" s="2">
        <v>0</v>
      </c>
    </row>
    <row r="213" spans="1:5" x14ac:dyDescent="0.75">
      <c r="A213">
        <v>422</v>
      </c>
      <c r="B213" t="s">
        <v>463</v>
      </c>
      <c r="C213">
        <v>0</v>
      </c>
      <c r="D213" s="1">
        <v>8134100</v>
      </c>
      <c r="E213" s="2">
        <v>0</v>
      </c>
    </row>
    <row r="214" spans="1:5" x14ac:dyDescent="0.75">
      <c r="A214">
        <v>334</v>
      </c>
      <c r="B214" t="s">
        <v>422</v>
      </c>
      <c r="C214">
        <v>0</v>
      </c>
      <c r="D214" s="1">
        <v>8190150</v>
      </c>
      <c r="E214" s="2">
        <v>0</v>
      </c>
    </row>
    <row r="215" spans="1:5" x14ac:dyDescent="0.75">
      <c r="A215">
        <v>151</v>
      </c>
      <c r="B215" t="s">
        <v>339</v>
      </c>
      <c r="C215">
        <v>0</v>
      </c>
      <c r="D215" s="1">
        <v>8245625</v>
      </c>
      <c r="E215" s="2">
        <v>0</v>
      </c>
    </row>
    <row r="216" spans="1:5" x14ac:dyDescent="0.75">
      <c r="A216">
        <v>593</v>
      </c>
      <c r="B216" t="s">
        <v>577</v>
      </c>
      <c r="C216">
        <v>0</v>
      </c>
      <c r="D216" s="1">
        <v>8800725</v>
      </c>
      <c r="E216" s="2">
        <v>0</v>
      </c>
    </row>
    <row r="217" spans="1:5" x14ac:dyDescent="0.75">
      <c r="A217">
        <v>160</v>
      </c>
      <c r="B217" t="s">
        <v>343</v>
      </c>
      <c r="C217">
        <v>0</v>
      </c>
      <c r="D217" s="1">
        <v>9091425</v>
      </c>
      <c r="E217" s="2">
        <v>0</v>
      </c>
    </row>
    <row r="218" spans="1:5" x14ac:dyDescent="0.75">
      <c r="A218">
        <v>169</v>
      </c>
      <c r="B218" t="s">
        <v>347</v>
      </c>
      <c r="C218">
        <v>0</v>
      </c>
      <c r="D218" s="1">
        <v>9543675</v>
      </c>
      <c r="E218" s="2">
        <v>0</v>
      </c>
    </row>
    <row r="219" spans="1:5" x14ac:dyDescent="0.75">
      <c r="A219">
        <v>310</v>
      </c>
      <c r="B219" t="s">
        <v>409</v>
      </c>
      <c r="C219">
        <v>0</v>
      </c>
      <c r="D219" s="1">
        <v>10069875</v>
      </c>
      <c r="E219" s="2">
        <v>0</v>
      </c>
    </row>
    <row r="220" spans="1:5" x14ac:dyDescent="0.75">
      <c r="A220">
        <v>100</v>
      </c>
      <c r="B220" t="s">
        <v>326</v>
      </c>
      <c r="C220">
        <v>0</v>
      </c>
      <c r="D220" s="1">
        <v>10467125</v>
      </c>
      <c r="E220" s="2">
        <v>0</v>
      </c>
    </row>
    <row r="221" spans="1:5" x14ac:dyDescent="0.75">
      <c r="A221">
        <v>431</v>
      </c>
      <c r="B221" t="s">
        <v>469</v>
      </c>
      <c r="C221">
        <v>0</v>
      </c>
      <c r="D221" s="1">
        <v>12332375</v>
      </c>
      <c r="E221" s="2">
        <v>0</v>
      </c>
    </row>
    <row r="222" spans="1:5" x14ac:dyDescent="0.75">
      <c r="A222">
        <v>394</v>
      </c>
      <c r="B222" t="s">
        <v>254</v>
      </c>
      <c r="C222">
        <v>0</v>
      </c>
      <c r="D222" s="1">
        <v>12728400</v>
      </c>
      <c r="E222" s="2">
        <v>0</v>
      </c>
    </row>
    <row r="223" spans="1:5" x14ac:dyDescent="0.75">
      <c r="A223">
        <v>402</v>
      </c>
      <c r="B223" t="s">
        <v>451</v>
      </c>
      <c r="C223">
        <v>0</v>
      </c>
      <c r="D223" s="1">
        <v>12821675</v>
      </c>
      <c r="E223" s="2">
        <v>0</v>
      </c>
    </row>
    <row r="224" spans="1:5" x14ac:dyDescent="0.75">
      <c r="A224">
        <v>456</v>
      </c>
      <c r="B224" t="s">
        <v>482</v>
      </c>
      <c r="C224">
        <v>0</v>
      </c>
      <c r="D224" s="1">
        <v>13330725</v>
      </c>
      <c r="E224" s="2">
        <v>0</v>
      </c>
    </row>
    <row r="225" spans="1:5" x14ac:dyDescent="0.75">
      <c r="A225">
        <v>269</v>
      </c>
      <c r="B225" t="s">
        <v>391</v>
      </c>
      <c r="C225">
        <v>0</v>
      </c>
      <c r="D225" s="1">
        <v>17450650</v>
      </c>
      <c r="E225" s="2">
        <v>0</v>
      </c>
    </row>
    <row r="226" spans="1:5" x14ac:dyDescent="0.75">
      <c r="A226">
        <v>343</v>
      </c>
      <c r="B226" t="s">
        <v>424</v>
      </c>
      <c r="C226">
        <v>0</v>
      </c>
      <c r="D226" s="1">
        <v>21598525</v>
      </c>
      <c r="E226" s="2">
        <v>0</v>
      </c>
    </row>
    <row r="227" spans="1:5" x14ac:dyDescent="0.75">
      <c r="A227">
        <v>344</v>
      </c>
      <c r="B227" t="s">
        <v>425</v>
      </c>
      <c r="C227">
        <v>0</v>
      </c>
      <c r="D227" s="1">
        <v>23252250</v>
      </c>
      <c r="E227" s="2">
        <v>0</v>
      </c>
    </row>
    <row r="228" spans="1:5" x14ac:dyDescent="0.75">
      <c r="A228">
        <v>544</v>
      </c>
      <c r="B228" t="s">
        <v>538</v>
      </c>
      <c r="C228">
        <v>0</v>
      </c>
      <c r="D228" s="1">
        <v>27025700</v>
      </c>
      <c r="E228" s="2">
        <v>0</v>
      </c>
    </row>
    <row r="229" spans="1:5" x14ac:dyDescent="0.75">
      <c r="A229">
        <v>411</v>
      </c>
      <c r="B229" t="s">
        <v>457</v>
      </c>
      <c r="C229">
        <v>0</v>
      </c>
      <c r="D229" s="1">
        <v>34414675</v>
      </c>
      <c r="E229" s="2">
        <v>0</v>
      </c>
    </row>
    <row r="230" spans="1:5" x14ac:dyDescent="0.75">
      <c r="A230">
        <v>72</v>
      </c>
      <c r="B230" t="s">
        <v>322</v>
      </c>
      <c r="C230">
        <v>0</v>
      </c>
      <c r="D230" s="1">
        <v>60370225</v>
      </c>
      <c r="E230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4BF21-078C-4B6A-87BA-E0037375CEB6}">
  <dimension ref="A2:E85"/>
  <sheetViews>
    <sheetView workbookViewId="0">
      <selection sqref="A1:E1048576"/>
    </sheetView>
  </sheetViews>
  <sheetFormatPr defaultRowHeight="14.75" x14ac:dyDescent="0.75"/>
  <cols>
    <col min="1" max="1" width="3.7265625" bestFit="1" customWidth="1"/>
    <col min="2" max="2" width="82.26953125" bestFit="1" customWidth="1"/>
    <col min="3" max="3" width="6.1796875" bestFit="1" customWidth="1"/>
    <col min="4" max="4" width="1.81640625" bestFit="1" customWidth="1"/>
    <col min="5" max="5" width="7.6796875" bestFit="1" customWidth="1"/>
  </cols>
  <sheetData>
    <row r="2" spans="1:5" x14ac:dyDescent="0.75">
      <c r="A2">
        <v>508</v>
      </c>
      <c r="B2" t="s">
        <v>288</v>
      </c>
      <c r="C2">
        <v>317</v>
      </c>
      <c r="D2">
        <v>0</v>
      </c>
      <c r="E2" t="s">
        <v>81</v>
      </c>
    </row>
    <row r="3" spans="1:5" x14ac:dyDescent="0.75">
      <c r="A3">
        <v>539</v>
      </c>
      <c r="B3" t="s">
        <v>293</v>
      </c>
      <c r="C3" s="1">
        <v>21932</v>
      </c>
      <c r="D3">
        <v>0</v>
      </c>
      <c r="E3" t="s">
        <v>81</v>
      </c>
    </row>
    <row r="4" spans="1:5" x14ac:dyDescent="0.75">
      <c r="A4">
        <v>587</v>
      </c>
      <c r="B4" t="s">
        <v>303</v>
      </c>
      <c r="C4">
        <v>16</v>
      </c>
      <c r="D4">
        <v>0</v>
      </c>
      <c r="E4" t="s">
        <v>81</v>
      </c>
    </row>
    <row r="5" spans="1:5" x14ac:dyDescent="0.75">
      <c r="A5">
        <v>596</v>
      </c>
      <c r="B5" t="s">
        <v>306</v>
      </c>
      <c r="C5" s="1">
        <v>4723</v>
      </c>
      <c r="D5">
        <v>0</v>
      </c>
      <c r="E5" t="s">
        <v>81</v>
      </c>
    </row>
    <row r="6" spans="1:5" x14ac:dyDescent="0.75">
      <c r="A6">
        <v>598</v>
      </c>
      <c r="B6" t="s">
        <v>307</v>
      </c>
      <c r="C6">
        <v>118</v>
      </c>
      <c r="D6">
        <v>0</v>
      </c>
      <c r="E6" t="s">
        <v>81</v>
      </c>
    </row>
    <row r="7" spans="1:5" x14ac:dyDescent="0.75">
      <c r="A7">
        <v>612</v>
      </c>
      <c r="B7" t="s">
        <v>308</v>
      </c>
      <c r="C7">
        <v>68</v>
      </c>
      <c r="D7">
        <v>0</v>
      </c>
      <c r="E7" t="s">
        <v>81</v>
      </c>
    </row>
    <row r="8" spans="1:5" x14ac:dyDescent="0.75">
      <c r="A8">
        <v>615</v>
      </c>
      <c r="B8" t="s">
        <v>309</v>
      </c>
      <c r="C8">
        <v>612</v>
      </c>
      <c r="D8">
        <v>0</v>
      </c>
      <c r="E8" t="s">
        <v>81</v>
      </c>
    </row>
    <row r="9" spans="1:5" x14ac:dyDescent="0.75">
      <c r="A9">
        <v>281</v>
      </c>
      <c r="B9" t="s">
        <v>397</v>
      </c>
      <c r="C9">
        <v>0</v>
      </c>
      <c r="D9">
        <v>0</v>
      </c>
      <c r="E9">
        <v>0</v>
      </c>
    </row>
    <row r="10" spans="1:5" x14ac:dyDescent="0.75">
      <c r="A10">
        <v>290</v>
      </c>
      <c r="B10" t="s">
        <v>399</v>
      </c>
      <c r="C10">
        <v>0</v>
      </c>
      <c r="D10">
        <v>0</v>
      </c>
      <c r="E10">
        <v>0</v>
      </c>
    </row>
    <row r="11" spans="1:5" x14ac:dyDescent="0.75">
      <c r="A11">
        <v>316</v>
      </c>
      <c r="B11" t="s">
        <v>414</v>
      </c>
      <c r="C11">
        <v>0</v>
      </c>
      <c r="D11">
        <v>0</v>
      </c>
      <c r="E11">
        <v>0</v>
      </c>
    </row>
    <row r="12" spans="1:5" x14ac:dyDescent="0.75">
      <c r="A12">
        <v>322</v>
      </c>
      <c r="B12" t="s">
        <v>416</v>
      </c>
      <c r="C12">
        <v>0</v>
      </c>
      <c r="D12">
        <v>0</v>
      </c>
      <c r="E12">
        <v>0</v>
      </c>
    </row>
    <row r="13" spans="1:5" x14ac:dyDescent="0.75">
      <c r="A13">
        <v>324</v>
      </c>
      <c r="B13" t="s">
        <v>417</v>
      </c>
      <c r="C13">
        <v>0</v>
      </c>
      <c r="D13">
        <v>0</v>
      </c>
      <c r="E13">
        <v>0</v>
      </c>
    </row>
    <row r="14" spans="1:5" x14ac:dyDescent="0.75">
      <c r="A14">
        <v>332</v>
      </c>
      <c r="B14" t="s">
        <v>420</v>
      </c>
      <c r="C14">
        <v>0</v>
      </c>
      <c r="D14">
        <v>0</v>
      </c>
      <c r="E14">
        <v>0</v>
      </c>
    </row>
    <row r="15" spans="1:5" x14ac:dyDescent="0.75">
      <c r="A15">
        <v>380</v>
      </c>
      <c r="B15" t="s">
        <v>439</v>
      </c>
      <c r="C15">
        <v>0</v>
      </c>
      <c r="D15">
        <v>0</v>
      </c>
      <c r="E15">
        <v>0</v>
      </c>
    </row>
    <row r="16" spans="1:5" x14ac:dyDescent="0.75">
      <c r="A16">
        <v>388</v>
      </c>
      <c r="B16" t="s">
        <v>446</v>
      </c>
      <c r="C16">
        <v>0</v>
      </c>
      <c r="D16">
        <v>0</v>
      </c>
      <c r="E16">
        <v>0</v>
      </c>
    </row>
    <row r="17" spans="1:5" x14ac:dyDescent="0.75">
      <c r="A17">
        <v>400</v>
      </c>
      <c r="B17" t="s">
        <v>449</v>
      </c>
      <c r="C17">
        <v>0</v>
      </c>
      <c r="D17">
        <v>0</v>
      </c>
      <c r="E17">
        <v>0</v>
      </c>
    </row>
    <row r="18" spans="1:5" x14ac:dyDescent="0.75">
      <c r="A18">
        <v>401</v>
      </c>
      <c r="B18" t="s">
        <v>450</v>
      </c>
      <c r="C18">
        <v>0</v>
      </c>
      <c r="D18">
        <v>0</v>
      </c>
      <c r="E18">
        <v>0</v>
      </c>
    </row>
    <row r="19" spans="1:5" x14ac:dyDescent="0.75">
      <c r="A19">
        <v>438</v>
      </c>
      <c r="B19" t="s">
        <v>473</v>
      </c>
      <c r="C19">
        <v>0</v>
      </c>
      <c r="D19">
        <v>0</v>
      </c>
      <c r="E19">
        <v>0</v>
      </c>
    </row>
    <row r="20" spans="1:5" x14ac:dyDescent="0.75">
      <c r="A20">
        <v>477</v>
      </c>
      <c r="B20" t="s">
        <v>492</v>
      </c>
      <c r="C20">
        <v>0</v>
      </c>
      <c r="D20">
        <v>0</v>
      </c>
      <c r="E20">
        <v>0</v>
      </c>
    </row>
    <row r="21" spans="1:5" x14ac:dyDescent="0.75">
      <c r="A21">
        <v>481</v>
      </c>
      <c r="B21" t="s">
        <v>495</v>
      </c>
      <c r="C21">
        <v>0</v>
      </c>
      <c r="D21">
        <v>0</v>
      </c>
      <c r="E21">
        <v>0</v>
      </c>
    </row>
    <row r="22" spans="1:5" x14ac:dyDescent="0.75">
      <c r="A22">
        <v>502</v>
      </c>
      <c r="B22" t="s">
        <v>506</v>
      </c>
      <c r="C22">
        <v>0</v>
      </c>
      <c r="D22">
        <v>0</v>
      </c>
      <c r="E22">
        <v>0</v>
      </c>
    </row>
    <row r="23" spans="1:5" x14ac:dyDescent="0.75">
      <c r="A23">
        <v>506</v>
      </c>
      <c r="B23" t="s">
        <v>509</v>
      </c>
      <c r="C23">
        <v>0</v>
      </c>
      <c r="D23">
        <v>0</v>
      </c>
      <c r="E23">
        <v>0</v>
      </c>
    </row>
    <row r="24" spans="1:5" x14ac:dyDescent="0.75">
      <c r="A24">
        <v>521</v>
      </c>
      <c r="B24" t="s">
        <v>520</v>
      </c>
      <c r="C24">
        <v>0</v>
      </c>
      <c r="D24">
        <v>0</v>
      </c>
      <c r="E24">
        <v>0</v>
      </c>
    </row>
    <row r="25" spans="1:5" x14ac:dyDescent="0.75">
      <c r="A25">
        <v>523</v>
      </c>
      <c r="B25" t="s">
        <v>522</v>
      </c>
      <c r="C25">
        <v>0</v>
      </c>
      <c r="D25">
        <v>0</v>
      </c>
      <c r="E25">
        <v>0</v>
      </c>
    </row>
    <row r="26" spans="1:5" x14ac:dyDescent="0.75">
      <c r="A26">
        <v>525</v>
      </c>
      <c r="B26" t="s">
        <v>524</v>
      </c>
      <c r="C26">
        <v>0</v>
      </c>
      <c r="D26">
        <v>0</v>
      </c>
      <c r="E26">
        <v>0</v>
      </c>
    </row>
    <row r="27" spans="1:5" x14ac:dyDescent="0.75">
      <c r="A27">
        <v>528</v>
      </c>
      <c r="B27" t="s">
        <v>526</v>
      </c>
      <c r="C27">
        <v>0</v>
      </c>
      <c r="D27">
        <v>0</v>
      </c>
      <c r="E27">
        <v>0</v>
      </c>
    </row>
    <row r="28" spans="1:5" x14ac:dyDescent="0.75">
      <c r="A28">
        <v>532</v>
      </c>
      <c r="B28" t="s">
        <v>530</v>
      </c>
      <c r="C28">
        <v>0</v>
      </c>
      <c r="D28">
        <v>0</v>
      </c>
      <c r="E28">
        <v>0</v>
      </c>
    </row>
    <row r="29" spans="1:5" x14ac:dyDescent="0.75">
      <c r="A29">
        <v>533</v>
      </c>
      <c r="B29" t="s">
        <v>531</v>
      </c>
      <c r="C29">
        <v>0</v>
      </c>
      <c r="D29">
        <v>0</v>
      </c>
      <c r="E29">
        <v>0</v>
      </c>
    </row>
    <row r="30" spans="1:5" x14ac:dyDescent="0.75">
      <c r="A30">
        <v>534</v>
      </c>
      <c r="B30" t="s">
        <v>532</v>
      </c>
      <c r="C30">
        <v>0</v>
      </c>
      <c r="D30">
        <v>0</v>
      </c>
      <c r="E30">
        <v>0</v>
      </c>
    </row>
    <row r="31" spans="1:5" x14ac:dyDescent="0.75">
      <c r="A31">
        <v>535</v>
      </c>
      <c r="B31" t="s">
        <v>533</v>
      </c>
      <c r="C31">
        <v>0</v>
      </c>
      <c r="D31">
        <v>0</v>
      </c>
      <c r="E31">
        <v>0</v>
      </c>
    </row>
    <row r="32" spans="1:5" x14ac:dyDescent="0.75">
      <c r="A32">
        <v>537</v>
      </c>
      <c r="B32" t="s">
        <v>534</v>
      </c>
      <c r="C32">
        <v>0</v>
      </c>
      <c r="D32">
        <v>0</v>
      </c>
      <c r="E32" s="2">
        <v>0</v>
      </c>
    </row>
    <row r="33" spans="1:5" x14ac:dyDescent="0.75">
      <c r="A33">
        <v>538</v>
      </c>
      <c r="B33" t="s">
        <v>535</v>
      </c>
      <c r="C33">
        <v>0</v>
      </c>
      <c r="D33">
        <v>0</v>
      </c>
      <c r="E33">
        <v>0</v>
      </c>
    </row>
    <row r="34" spans="1:5" x14ac:dyDescent="0.75">
      <c r="A34">
        <v>542</v>
      </c>
      <c r="B34" t="s">
        <v>536</v>
      </c>
      <c r="C34">
        <v>0</v>
      </c>
      <c r="D34">
        <v>0</v>
      </c>
      <c r="E34">
        <v>0</v>
      </c>
    </row>
    <row r="35" spans="1:5" x14ac:dyDescent="0.75">
      <c r="A35">
        <v>556</v>
      </c>
      <c r="B35" t="s">
        <v>548</v>
      </c>
      <c r="C35">
        <v>0</v>
      </c>
      <c r="D35">
        <v>0</v>
      </c>
      <c r="E35" s="2">
        <v>0</v>
      </c>
    </row>
    <row r="36" spans="1:5" x14ac:dyDescent="0.75">
      <c r="A36">
        <v>558</v>
      </c>
      <c r="B36" t="s">
        <v>549</v>
      </c>
      <c r="C36">
        <v>0</v>
      </c>
      <c r="D36">
        <v>0</v>
      </c>
      <c r="E36">
        <v>0</v>
      </c>
    </row>
    <row r="37" spans="1:5" x14ac:dyDescent="0.75">
      <c r="A37">
        <v>565</v>
      </c>
      <c r="B37" t="s">
        <v>554</v>
      </c>
      <c r="C37">
        <v>0</v>
      </c>
      <c r="D37">
        <v>0</v>
      </c>
      <c r="E37">
        <v>0</v>
      </c>
    </row>
    <row r="38" spans="1:5" x14ac:dyDescent="0.75">
      <c r="A38">
        <v>569</v>
      </c>
      <c r="B38" t="s">
        <v>556</v>
      </c>
      <c r="C38">
        <v>0</v>
      </c>
      <c r="D38">
        <v>0</v>
      </c>
      <c r="E38">
        <v>0</v>
      </c>
    </row>
    <row r="39" spans="1:5" x14ac:dyDescent="0.75">
      <c r="A39">
        <v>574</v>
      </c>
      <c r="B39" t="s">
        <v>561</v>
      </c>
      <c r="C39">
        <v>0</v>
      </c>
      <c r="D39">
        <v>0</v>
      </c>
      <c r="E39">
        <v>0</v>
      </c>
    </row>
    <row r="40" spans="1:5" x14ac:dyDescent="0.75">
      <c r="A40">
        <v>575</v>
      </c>
      <c r="B40" t="s">
        <v>562</v>
      </c>
      <c r="C40">
        <v>0</v>
      </c>
      <c r="D40">
        <v>0</v>
      </c>
      <c r="E40">
        <v>0</v>
      </c>
    </row>
    <row r="41" spans="1:5" x14ac:dyDescent="0.75">
      <c r="A41">
        <v>576</v>
      </c>
      <c r="B41" t="s">
        <v>563</v>
      </c>
      <c r="C41">
        <v>0</v>
      </c>
      <c r="D41">
        <v>0</v>
      </c>
      <c r="E41">
        <v>0</v>
      </c>
    </row>
    <row r="42" spans="1:5" x14ac:dyDescent="0.75">
      <c r="A42">
        <v>577</v>
      </c>
      <c r="B42" t="s">
        <v>564</v>
      </c>
      <c r="C42">
        <v>0</v>
      </c>
      <c r="D42">
        <v>0</v>
      </c>
      <c r="E42">
        <v>0</v>
      </c>
    </row>
    <row r="43" spans="1:5" x14ac:dyDescent="0.75">
      <c r="A43">
        <v>579</v>
      </c>
      <c r="B43" t="s">
        <v>565</v>
      </c>
      <c r="C43">
        <v>0</v>
      </c>
      <c r="D43">
        <v>0</v>
      </c>
      <c r="E43">
        <v>0</v>
      </c>
    </row>
    <row r="44" spans="1:5" x14ac:dyDescent="0.75">
      <c r="A44">
        <v>582</v>
      </c>
      <c r="B44" t="s">
        <v>568</v>
      </c>
      <c r="C44">
        <v>0</v>
      </c>
      <c r="D44">
        <v>0</v>
      </c>
      <c r="E44">
        <v>0</v>
      </c>
    </row>
    <row r="45" spans="1:5" x14ac:dyDescent="0.75">
      <c r="A45">
        <v>583</v>
      </c>
      <c r="B45" t="s">
        <v>569</v>
      </c>
      <c r="C45">
        <v>0</v>
      </c>
      <c r="D45">
        <v>0</v>
      </c>
      <c r="E45">
        <v>0</v>
      </c>
    </row>
    <row r="46" spans="1:5" x14ac:dyDescent="0.75">
      <c r="A46">
        <v>585</v>
      </c>
      <c r="B46" t="s">
        <v>571</v>
      </c>
      <c r="C46">
        <v>0</v>
      </c>
      <c r="D46">
        <v>0</v>
      </c>
      <c r="E46">
        <v>0</v>
      </c>
    </row>
    <row r="47" spans="1:5" x14ac:dyDescent="0.75">
      <c r="A47">
        <v>586</v>
      </c>
      <c r="B47" t="s">
        <v>572</v>
      </c>
      <c r="C47">
        <v>0</v>
      </c>
      <c r="D47">
        <v>0</v>
      </c>
      <c r="E47">
        <v>0</v>
      </c>
    </row>
    <row r="48" spans="1:5" x14ac:dyDescent="0.75">
      <c r="A48">
        <v>590</v>
      </c>
      <c r="B48" t="s">
        <v>574</v>
      </c>
      <c r="C48">
        <v>0</v>
      </c>
      <c r="D48">
        <v>0</v>
      </c>
      <c r="E48">
        <v>0</v>
      </c>
    </row>
    <row r="49" spans="1:5" x14ac:dyDescent="0.75">
      <c r="A49">
        <v>591</v>
      </c>
      <c r="B49" t="s">
        <v>575</v>
      </c>
      <c r="C49">
        <v>0</v>
      </c>
      <c r="D49">
        <v>0</v>
      </c>
      <c r="E49">
        <v>0</v>
      </c>
    </row>
    <row r="50" spans="1:5" x14ac:dyDescent="0.75">
      <c r="A50">
        <v>592</v>
      </c>
      <c r="B50" t="s">
        <v>576</v>
      </c>
      <c r="C50">
        <v>0</v>
      </c>
      <c r="D50">
        <v>0</v>
      </c>
      <c r="E50">
        <v>0</v>
      </c>
    </row>
    <row r="51" spans="1:5" x14ac:dyDescent="0.75">
      <c r="A51">
        <v>594</v>
      </c>
      <c r="B51" t="s">
        <v>578</v>
      </c>
      <c r="C51">
        <v>0</v>
      </c>
      <c r="D51">
        <v>0</v>
      </c>
      <c r="E51">
        <v>0</v>
      </c>
    </row>
    <row r="52" spans="1:5" x14ac:dyDescent="0.75">
      <c r="A52">
        <v>597</v>
      </c>
      <c r="B52" t="s">
        <v>579</v>
      </c>
      <c r="C52">
        <v>0</v>
      </c>
      <c r="D52">
        <v>0</v>
      </c>
      <c r="E52">
        <v>0</v>
      </c>
    </row>
    <row r="53" spans="1:5" x14ac:dyDescent="0.75">
      <c r="A53">
        <v>599</v>
      </c>
      <c r="B53" t="s">
        <v>580</v>
      </c>
      <c r="C53">
        <v>0</v>
      </c>
      <c r="D53">
        <v>0</v>
      </c>
      <c r="E53">
        <v>0</v>
      </c>
    </row>
    <row r="54" spans="1:5" x14ac:dyDescent="0.75">
      <c r="A54">
        <v>601</v>
      </c>
      <c r="B54" t="s">
        <v>582</v>
      </c>
      <c r="C54">
        <v>0</v>
      </c>
      <c r="D54">
        <v>0</v>
      </c>
      <c r="E54">
        <v>0</v>
      </c>
    </row>
    <row r="55" spans="1:5" x14ac:dyDescent="0.75">
      <c r="A55">
        <v>602</v>
      </c>
      <c r="B55" t="s">
        <v>583</v>
      </c>
      <c r="C55">
        <v>0</v>
      </c>
      <c r="D55">
        <v>0</v>
      </c>
      <c r="E55">
        <v>0</v>
      </c>
    </row>
    <row r="56" spans="1:5" x14ac:dyDescent="0.75">
      <c r="A56">
        <v>603</v>
      </c>
      <c r="B56" t="s">
        <v>584</v>
      </c>
      <c r="C56">
        <v>0</v>
      </c>
      <c r="D56">
        <v>0</v>
      </c>
      <c r="E56">
        <v>0</v>
      </c>
    </row>
    <row r="57" spans="1:5" x14ac:dyDescent="0.75">
      <c r="A57">
        <v>604</v>
      </c>
      <c r="B57" t="s">
        <v>585</v>
      </c>
      <c r="C57">
        <v>0</v>
      </c>
      <c r="D57">
        <v>0</v>
      </c>
      <c r="E57">
        <v>0</v>
      </c>
    </row>
    <row r="58" spans="1:5" x14ac:dyDescent="0.75">
      <c r="A58">
        <v>605</v>
      </c>
      <c r="B58" t="s">
        <v>586</v>
      </c>
      <c r="C58">
        <v>0</v>
      </c>
      <c r="D58">
        <v>0</v>
      </c>
      <c r="E58">
        <v>0</v>
      </c>
    </row>
    <row r="59" spans="1:5" x14ac:dyDescent="0.75">
      <c r="A59">
        <v>606</v>
      </c>
      <c r="B59" t="s">
        <v>587</v>
      </c>
      <c r="C59">
        <v>0</v>
      </c>
      <c r="D59">
        <v>0</v>
      </c>
      <c r="E59">
        <v>0</v>
      </c>
    </row>
    <row r="60" spans="1:5" x14ac:dyDescent="0.75">
      <c r="A60">
        <v>607</v>
      </c>
      <c r="B60" t="s">
        <v>588</v>
      </c>
      <c r="C60">
        <v>0</v>
      </c>
      <c r="D60">
        <v>0</v>
      </c>
      <c r="E60">
        <v>0</v>
      </c>
    </row>
    <row r="61" spans="1:5" x14ac:dyDescent="0.75">
      <c r="A61">
        <v>608</v>
      </c>
      <c r="B61" t="s">
        <v>589</v>
      </c>
      <c r="C61">
        <v>0</v>
      </c>
      <c r="D61">
        <v>0</v>
      </c>
      <c r="E61">
        <v>0</v>
      </c>
    </row>
    <row r="62" spans="1:5" x14ac:dyDescent="0.75">
      <c r="A62">
        <v>609</v>
      </c>
      <c r="B62" t="s">
        <v>590</v>
      </c>
      <c r="C62">
        <v>0</v>
      </c>
      <c r="D62">
        <v>0</v>
      </c>
      <c r="E62">
        <v>0</v>
      </c>
    </row>
    <row r="63" spans="1:5" x14ac:dyDescent="0.75">
      <c r="A63">
        <v>610</v>
      </c>
      <c r="B63" t="s">
        <v>591</v>
      </c>
      <c r="C63">
        <v>0</v>
      </c>
      <c r="D63">
        <v>0</v>
      </c>
      <c r="E63">
        <v>0</v>
      </c>
    </row>
    <row r="64" spans="1:5" x14ac:dyDescent="0.75">
      <c r="A64">
        <v>611</v>
      </c>
      <c r="B64" t="s">
        <v>592</v>
      </c>
      <c r="C64">
        <v>0</v>
      </c>
      <c r="D64">
        <v>0</v>
      </c>
      <c r="E64">
        <v>0</v>
      </c>
    </row>
    <row r="65" spans="1:5" x14ac:dyDescent="0.75">
      <c r="A65">
        <v>613</v>
      </c>
      <c r="B65" t="s">
        <v>593</v>
      </c>
      <c r="C65">
        <v>0</v>
      </c>
      <c r="D65">
        <v>0</v>
      </c>
      <c r="E65">
        <v>0</v>
      </c>
    </row>
    <row r="66" spans="1:5" x14ac:dyDescent="0.75">
      <c r="A66">
        <v>614</v>
      </c>
      <c r="B66" t="s">
        <v>594</v>
      </c>
      <c r="C66">
        <v>0</v>
      </c>
      <c r="D66">
        <v>0</v>
      </c>
    </row>
    <row r="67" spans="1:5" x14ac:dyDescent="0.75">
      <c r="A67">
        <v>616</v>
      </c>
      <c r="B67" t="s">
        <v>595</v>
      </c>
      <c r="C67">
        <v>0</v>
      </c>
      <c r="D67">
        <v>0</v>
      </c>
    </row>
    <row r="68" spans="1:5" x14ac:dyDescent="0.75">
      <c r="A68">
        <v>189</v>
      </c>
      <c r="B68" t="s">
        <v>596</v>
      </c>
      <c r="C68">
        <v>0</v>
      </c>
      <c r="D68">
        <v>0</v>
      </c>
      <c r="E68">
        <v>0</v>
      </c>
    </row>
    <row r="69" spans="1:5" x14ac:dyDescent="0.75">
      <c r="A69">
        <v>282</v>
      </c>
      <c r="B69" t="s">
        <v>597</v>
      </c>
      <c r="C69">
        <v>0</v>
      </c>
      <c r="D69">
        <v>0</v>
      </c>
      <c r="E69">
        <v>0</v>
      </c>
    </row>
    <row r="70" spans="1:5" x14ac:dyDescent="0.75">
      <c r="A70">
        <v>283</v>
      </c>
      <c r="B70" t="s">
        <v>597</v>
      </c>
      <c r="C70">
        <v>0</v>
      </c>
      <c r="D70">
        <v>0</v>
      </c>
      <c r="E70">
        <v>0</v>
      </c>
    </row>
    <row r="71" spans="1:5" x14ac:dyDescent="0.75">
      <c r="A71">
        <v>285</v>
      </c>
      <c r="B71" t="s">
        <v>598</v>
      </c>
      <c r="C71">
        <v>0</v>
      </c>
      <c r="D71">
        <v>0</v>
      </c>
      <c r="E71">
        <v>0</v>
      </c>
    </row>
    <row r="72" spans="1:5" x14ac:dyDescent="0.75">
      <c r="A72">
        <v>301</v>
      </c>
      <c r="B72" t="s">
        <v>596</v>
      </c>
      <c r="C72">
        <v>0</v>
      </c>
      <c r="D72">
        <v>0</v>
      </c>
      <c r="E72">
        <v>0</v>
      </c>
    </row>
    <row r="73" spans="1:5" x14ac:dyDescent="0.75">
      <c r="A73">
        <v>329</v>
      </c>
      <c r="B73" t="s">
        <v>596</v>
      </c>
      <c r="C73">
        <v>0</v>
      </c>
      <c r="D73">
        <v>0</v>
      </c>
      <c r="E73">
        <v>0</v>
      </c>
    </row>
    <row r="74" spans="1:5" x14ac:dyDescent="0.75">
      <c r="A74">
        <v>348</v>
      </c>
      <c r="B74" t="s">
        <v>596</v>
      </c>
      <c r="C74">
        <v>0</v>
      </c>
      <c r="D74">
        <v>0</v>
      </c>
      <c r="E74">
        <v>0</v>
      </c>
    </row>
    <row r="75" spans="1:5" x14ac:dyDescent="0.75">
      <c r="A75">
        <v>356</v>
      </c>
      <c r="B75" t="s">
        <v>599</v>
      </c>
      <c r="C75">
        <v>0</v>
      </c>
      <c r="D75">
        <v>0</v>
      </c>
      <c r="E75">
        <v>0</v>
      </c>
    </row>
    <row r="76" spans="1:5" x14ac:dyDescent="0.75">
      <c r="A76">
        <v>367</v>
      </c>
      <c r="B76" t="s">
        <v>600</v>
      </c>
      <c r="C76">
        <v>0</v>
      </c>
      <c r="D76">
        <v>0</v>
      </c>
      <c r="E76">
        <v>0</v>
      </c>
    </row>
    <row r="77" spans="1:5" x14ac:dyDescent="0.75">
      <c r="A77">
        <v>376</v>
      </c>
      <c r="B77" t="s">
        <v>598</v>
      </c>
      <c r="C77">
        <v>0</v>
      </c>
      <c r="D77">
        <v>0</v>
      </c>
      <c r="E77">
        <v>0</v>
      </c>
    </row>
    <row r="78" spans="1:5" x14ac:dyDescent="0.75">
      <c r="A78">
        <v>390</v>
      </c>
      <c r="B78" t="s">
        <v>601</v>
      </c>
      <c r="C78">
        <v>0</v>
      </c>
      <c r="D78">
        <v>0</v>
      </c>
      <c r="E78">
        <v>0</v>
      </c>
    </row>
    <row r="79" spans="1:5" x14ac:dyDescent="0.75">
      <c r="A79">
        <v>421</v>
      </c>
      <c r="B79" t="s">
        <v>596</v>
      </c>
      <c r="C79">
        <v>0</v>
      </c>
      <c r="D79">
        <v>0</v>
      </c>
      <c r="E79">
        <v>0</v>
      </c>
    </row>
    <row r="80" spans="1:5" x14ac:dyDescent="0.75">
      <c r="A80">
        <v>450</v>
      </c>
      <c r="B80" t="s">
        <v>602</v>
      </c>
      <c r="C80">
        <v>0</v>
      </c>
      <c r="D80">
        <v>0</v>
      </c>
      <c r="E80">
        <v>0</v>
      </c>
    </row>
    <row r="81" spans="1:5" x14ac:dyDescent="0.75">
      <c r="A81">
        <v>484</v>
      </c>
      <c r="B81" t="s">
        <v>596</v>
      </c>
      <c r="C81">
        <v>0</v>
      </c>
      <c r="D81">
        <v>0</v>
      </c>
      <c r="E81">
        <v>0</v>
      </c>
    </row>
    <row r="82" spans="1:5" x14ac:dyDescent="0.75">
      <c r="A82">
        <v>491</v>
      </c>
      <c r="B82" t="s">
        <v>596</v>
      </c>
      <c r="C82">
        <v>0</v>
      </c>
      <c r="D82">
        <v>0</v>
      </c>
      <c r="E82">
        <v>0</v>
      </c>
    </row>
    <row r="83" spans="1:5" x14ac:dyDescent="0.75">
      <c r="A83">
        <v>500</v>
      </c>
      <c r="B83" t="s">
        <v>603</v>
      </c>
      <c r="C83">
        <v>0</v>
      </c>
      <c r="D83">
        <v>0</v>
      </c>
      <c r="E83">
        <v>0</v>
      </c>
    </row>
    <row r="84" spans="1:5" x14ac:dyDescent="0.75">
      <c r="A84">
        <v>501</v>
      </c>
      <c r="B84" t="s">
        <v>596</v>
      </c>
      <c r="C84">
        <v>0</v>
      </c>
      <c r="D84">
        <v>0</v>
      </c>
      <c r="E84">
        <v>0</v>
      </c>
    </row>
    <row r="85" spans="1:5" x14ac:dyDescent="0.75">
      <c r="A85">
        <v>505</v>
      </c>
      <c r="B85" t="s">
        <v>604</v>
      </c>
      <c r="C85">
        <v>0</v>
      </c>
      <c r="D85">
        <v>0</v>
      </c>
      <c r="E8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Skew Model</vt:lpstr>
      <vt:lpstr>Some Digital</vt:lpstr>
      <vt:lpstr>No Digital</vt:lpstr>
      <vt:lpstr>No Pages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William Oard</dc:creator>
  <cp:lastModifiedBy>Douglas William Oard</cp:lastModifiedBy>
  <dcterms:created xsi:type="dcterms:W3CDTF">2025-12-30T00:56:32Z</dcterms:created>
  <dcterms:modified xsi:type="dcterms:W3CDTF">2025-12-30T07:46:33Z</dcterms:modified>
</cp:coreProperties>
</file>